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indexed="65"/>
      <sz val="11"/>
    </font>
  </fonts>
  <fills count="4">
    <fill>
      <patternFill/>
    </fill>
    <fill>
      <patternFill patternType="gray125"/>
    </fill>
    <fill>
      <patternFill patternType="solid">
        <fgColor rgb="FF31849B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5"/>
  <sheetViews>
    <sheetView tabSelected="1" workbookViewId="0">
      <selection activeCell="I7" sqref="I7"/>
    </sheetView>
  </sheetViews>
  <sheetFormatPr baseColWidth="10" defaultColWidth="9.140625" defaultRowHeight="15"/>
  <cols>
    <col width="24.5703125" customWidth="1" min="2" max="2"/>
    <col width="13.7109375" customWidth="1" min="8" max="8"/>
    <col width="14.7109375" customWidth="1" min="9" max="9"/>
    <col width="24" customWidth="1" min="14" max="14"/>
  </cols>
  <sheetData>
    <row r="1" ht="30" customHeight="1">
      <c r="A1" s="1" t="inlineStr">
        <is>
          <t>BGA PIN</t>
        </is>
      </c>
      <c r="B1" s="2" t="inlineStr">
        <is>
          <t>Package
Net Name</t>
        </is>
      </c>
      <c r="C1" s="2" t="inlineStr">
        <is>
          <t>CLK</t>
        </is>
      </c>
      <c r="D1" s="2" t="inlineStr">
        <is>
          <t>ADC</t>
        </is>
      </c>
      <c r="E1" s="2" t="inlineStr">
        <is>
          <t>DAC</t>
        </is>
      </c>
      <c r="F1" s="2" t="inlineStr">
        <is>
          <t>JTAG</t>
        </is>
      </c>
      <c r="G1" s="2" t="inlineStr">
        <is>
          <t>SPI SLAVE #2</t>
        </is>
      </c>
      <c r="H1" s="2" t="inlineStr">
        <is>
          <t>SPI MEMORY MASTER</t>
        </is>
      </c>
      <c r="I1" s="2" t="inlineStr">
        <is>
          <t>QSPI MEMORY MASTER</t>
        </is>
      </c>
      <c r="J1" s="2" t="inlineStr">
        <is>
          <t>PAR16</t>
        </is>
      </c>
      <c r="K1" s="2" t="inlineStr">
        <is>
          <t>SPW SHARED</t>
        </is>
      </c>
      <c r="L1" s="2" t="inlineStr">
        <is>
          <t>SPW</t>
        </is>
      </c>
      <c r="M1" s="2" t="inlineStr">
        <is>
          <t>TEST</t>
        </is>
      </c>
      <c r="N1" s="2" t="inlineStr">
        <is>
          <t>Top VHDL signal</t>
        </is>
      </c>
    </row>
    <row r="2" ht="30" customHeight="1">
      <c r="A2" s="3" t="inlineStr">
        <is>
          <t>A1</t>
        </is>
      </c>
      <c r="B2" s="3" t="inlineStr">
        <is>
          <t>IOB14_VDDIO</t>
        </is>
      </c>
      <c r="C2" s="3">
        <f>IF(ISNUMBER(SEARCH("CLK",B2)),"CLK","")</f>
        <v/>
      </c>
      <c r="D2" s="3" t="n"/>
      <c r="E2" s="3" t="n"/>
      <c r="F2" s="3">
        <f>IF(ISNUMBER(SEARCH("TCK",B2)),"JTAG","")</f>
        <v/>
      </c>
      <c r="G2" s="3" t="n"/>
      <c r="H2" s="3" t="n"/>
      <c r="I2" s="3" t="n"/>
      <c r="J2" s="3" t="n"/>
      <c r="K2" s="3" t="n"/>
      <c r="L2" s="3" t="n"/>
      <c r="M2" s="3" t="n"/>
    </row>
    <row r="3" ht="30" customHeight="1">
      <c r="A3" s="3" t="inlineStr">
        <is>
          <t>A2</t>
        </is>
      </c>
      <c r="B3" s="3" t="inlineStr">
        <is>
          <t>IOB14_D22</t>
        </is>
      </c>
      <c r="C3" s="3">
        <f>IF(ISNUMBER(SEARCH("CLK",B3)),"CLK","")</f>
        <v/>
      </c>
      <c r="D3" s="3" t="inlineStr">
        <is>
          <t>ADC03_IN7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t="inlineStr">
        <is>
          <t>o_sck(0)</t>
        </is>
      </c>
    </row>
    <row r="4" ht="30" customHeight="1">
      <c r="A4" s="3" t="inlineStr">
        <is>
          <t>A3</t>
        </is>
      </c>
      <c r="B4" s="3" t="inlineStr">
        <is>
          <t>IOB14_D20</t>
        </is>
      </c>
      <c r="C4" s="3">
        <f>IF(ISNUMBER(SEARCH("CLK",B4)),"CLK","")</f>
        <v/>
      </c>
      <c r="D4" s="3" t="inlineStr">
        <is>
          <t>ADC02_IN6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t="inlineStr">
        <is>
          <t>o_DAC_SCLK(0)</t>
        </is>
      </c>
    </row>
    <row r="5">
      <c r="A5" s="3" t="inlineStr">
        <is>
          <t>A4</t>
        </is>
      </c>
      <c r="B5" s="3" t="inlineStr">
        <is>
          <t>GND</t>
        </is>
      </c>
      <c r="C5" s="3">
        <f>IF(ISNUMBER(SEARCH("CLK",B5)),"CLK","")</f>
        <v/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0" customHeight="1">
      <c r="A6" s="3" t="inlineStr">
        <is>
          <t>A5</t>
        </is>
      </c>
      <c r="B6" s="3" t="inlineStr">
        <is>
          <t>IOB00_VDDIO</t>
        </is>
      </c>
      <c r="C6" s="3">
        <f>IF(ISNUMBER(SEARCH("CLK",B6)),"CLK","")</f>
        <v/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30" customHeight="1">
      <c r="A7" s="3" t="inlineStr">
        <is>
          <t>A6</t>
        </is>
      </c>
      <c r="B7" s="3" t="inlineStr">
        <is>
          <t>IOB00_TRST_N</t>
        </is>
      </c>
      <c r="C7" s="3">
        <f>IF(ISNUMBER(SEARCH("CLK",B7)),"CLK","")</f>
        <v/>
      </c>
      <c r="D7" s="3" t="n"/>
      <c r="E7" s="3" t="n"/>
      <c r="F7" s="3" t="inlineStr">
        <is>
          <t>TRST_N</t>
        </is>
      </c>
      <c r="G7" s="3" t="n"/>
      <c r="H7" s="3" t="n"/>
      <c r="I7" s="3" t="n"/>
      <c r="J7" s="3" t="n"/>
      <c r="K7" s="3" t="n"/>
      <c r="L7" s="3" t="n"/>
      <c r="M7" s="3" t="n"/>
    </row>
    <row r="8">
      <c r="A8" s="3" t="inlineStr">
        <is>
          <t>A7</t>
        </is>
      </c>
      <c r="B8" s="3" t="inlineStr">
        <is>
          <t>GND</t>
        </is>
      </c>
      <c r="C8" s="3">
        <f>IF(ISNUMBER(SEARCH("CLK",B8)),"CLK","")</f>
        <v/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A8</t>
        </is>
      </c>
      <c r="B9" s="3" t="inlineStr">
        <is>
          <t>GND</t>
        </is>
      </c>
      <c r="C9" s="3">
        <f>IF(ISNUMBER(SEARCH("CLK",B9)),"CLK","")</f>
        <v/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 ht="45" customHeight="1">
      <c r="A10" s="3" t="inlineStr">
        <is>
          <t>A9</t>
        </is>
      </c>
      <c r="B10" s="3" t="inlineStr">
        <is>
          <t>CKGEN_UP_PLL_VDDA</t>
        </is>
      </c>
      <c r="C10" s="3">
        <f>IF(ISNUMBER(SEARCH("CLK",B10)),"CLK","")</f>
        <v/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A10</t>
        </is>
      </c>
      <c r="B11" s="3" t="inlineStr">
        <is>
          <t>GND</t>
        </is>
      </c>
      <c r="C11" s="3">
        <f>IF(ISNUMBER(SEARCH("CLK",B11)),"CLK","")</f>
        <v/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 ht="30" customHeight="1">
      <c r="A12" s="3" t="inlineStr">
        <is>
          <t>A11</t>
        </is>
      </c>
      <c r="B12" s="3" t="inlineStr">
        <is>
          <t>IOB15_D09P_CLK</t>
        </is>
      </c>
      <c r="C12" s="3">
        <f>IF(ISNUMBER(SEARCH("CLK",B12)),"CLK","")</f>
        <v/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t="inlineStr">
        <is>
          <t>i_sys_clk</t>
        </is>
      </c>
    </row>
    <row r="13" ht="30" customHeight="1">
      <c r="A13" s="3" t="inlineStr">
        <is>
          <t>A12</t>
        </is>
      </c>
      <c r="B13" s="3" t="inlineStr">
        <is>
          <t>IOB15_D08P_CLK</t>
        </is>
      </c>
      <c r="C13" s="3">
        <f>IF(ISNUMBER(SEARCH("CLK",B13)),"CLK","")</f>
        <v/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t="inlineStr">
        <is>
          <t>i_config_clk</t>
        </is>
      </c>
    </row>
    <row r="14" ht="30" customHeight="1">
      <c r="A14" s="3" t="inlineStr">
        <is>
          <t>A13</t>
        </is>
      </c>
      <c r="B14" s="3" t="inlineStr">
        <is>
          <t>IOB15_VDDIO</t>
        </is>
      </c>
      <c r="C14" s="3">
        <f>IF(ISNUMBER(SEARCH("CLK",B14)),"CLK","")</f>
        <v/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inlineStr">
        <is>
          <t>A14</t>
        </is>
      </c>
      <c r="B15" s="3" t="inlineStr">
        <is>
          <t>GND</t>
        </is>
      </c>
      <c r="C15" s="3">
        <f>IF(ISNUMBER(SEARCH("CLK",B15)),"CLK","")</f>
        <v/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 ht="30" customHeight="1">
      <c r="A16" s="3" t="inlineStr">
        <is>
          <t>A15</t>
        </is>
      </c>
      <c r="B16" s="3" t="inlineStr">
        <is>
          <t>IOB16_D09P_CLK</t>
        </is>
      </c>
      <c r="C16" s="3">
        <f>IF(ISNUMBER(SEARCH("CLK",B16)),"CLK","")</f>
        <v/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 ht="30" customHeight="1">
      <c r="A17" s="3" t="inlineStr">
        <is>
          <t>A16</t>
        </is>
      </c>
      <c r="B17" s="3" t="inlineStr">
        <is>
          <t>IOB16_D08P_CLK</t>
        </is>
      </c>
      <c r="C17" s="3">
        <f>IF(ISNUMBER(SEARCH("CLK",B17)),"CLK","")</f>
        <v/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 ht="30" customHeight="1">
      <c r="A18" s="3" t="inlineStr">
        <is>
          <t>A17</t>
        </is>
      </c>
      <c r="B18" s="3" t="inlineStr">
        <is>
          <t>IOB16_VDDIO</t>
        </is>
      </c>
      <c r="C18" s="3">
        <f>IF(ISNUMBER(SEARCH("CLK",B18)),"CLK","")</f>
        <v/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inlineStr">
        <is>
          <t>A18</t>
        </is>
      </c>
      <c r="B19" s="3" t="inlineStr">
        <is>
          <t>GND</t>
        </is>
      </c>
      <c r="C19" s="3">
        <f>IF(ISNUMBER(SEARCH("CLK",B19)),"CLK","")</f>
        <v/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 ht="30" customHeight="1">
      <c r="A20" s="3" t="inlineStr">
        <is>
          <t>A19</t>
        </is>
      </c>
      <c r="B20" s="3" t="inlineStr">
        <is>
          <t>IOB17_D09P_CLK</t>
        </is>
      </c>
      <c r="C20" s="3">
        <f>IF(ISNUMBER(SEARCH("CLK",B20)),"CLK","")</f>
        <v/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 ht="30" customHeight="1">
      <c r="A21" s="3" t="inlineStr">
        <is>
          <t>A20</t>
        </is>
      </c>
      <c r="B21" s="3" t="inlineStr">
        <is>
          <t>IOB17_D08P_CLK</t>
        </is>
      </c>
      <c r="C21" s="3">
        <f>IF(ISNUMBER(SEARCH("CLK",B21)),"CLK","")</f>
        <v/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inlineStr">
        <is>
          <t>A21</t>
        </is>
      </c>
      <c r="B22" s="3" t="inlineStr">
        <is>
          <t>GND</t>
        </is>
      </c>
      <c r="C22" s="3">
        <f>IF(ISNUMBER(SEARCH("CLK",B22)),"CLK","")</f>
        <v/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 ht="30" customHeight="1">
      <c r="A23" s="3" t="inlineStr">
        <is>
          <t>A22</t>
        </is>
      </c>
      <c r="B23" s="3" t="inlineStr">
        <is>
          <t>IOB17_VDDIO</t>
        </is>
      </c>
      <c r="C23" s="3">
        <f>IF(ISNUMBER(SEARCH("CLK",B23)),"CLK","")</f>
        <v/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30" customHeight="1">
      <c r="A24" s="3" t="inlineStr">
        <is>
          <t>B1</t>
        </is>
      </c>
      <c r="B24" s="3" t="inlineStr">
        <is>
          <t>IOB14_VDDIO</t>
        </is>
      </c>
      <c r="C24" s="3">
        <f>IF(ISNUMBER(SEARCH("CLK",B24)),"CLK","")</f>
        <v/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30" customHeight="1">
      <c r="A25" s="3" t="inlineStr">
        <is>
          <t>B2</t>
        </is>
      </c>
      <c r="B25" s="3" t="inlineStr">
        <is>
          <t>IOB14_D19</t>
        </is>
      </c>
      <c r="C25" s="3">
        <f>IF(ISNUMBER(SEARCH("CLK",B25)),"CLK","")</f>
        <v/>
      </c>
      <c r="D25" s="3" t="inlineStr">
        <is>
          <t>ADC03_IN0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t="inlineStr">
        <is>
          <t>o_cs_n(0)</t>
        </is>
      </c>
    </row>
    <row r="26" ht="30" customHeight="1">
      <c r="A26" s="3" t="inlineStr">
        <is>
          <t>B3</t>
        </is>
      </c>
      <c r="B26" s="3" t="inlineStr">
        <is>
          <t>IOB14_D16</t>
        </is>
      </c>
      <c r="C26" s="3">
        <f>IF(ISNUMBER(SEARCH("CLK",B26)),"CLK","")</f>
        <v/>
      </c>
      <c r="D26" s="3" t="inlineStr">
        <is>
          <t>ADC03_IN5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t="inlineStr">
        <is>
          <t>o_DAC_SYNC_n(0)</t>
        </is>
      </c>
    </row>
    <row r="27" ht="30" customHeight="1">
      <c r="A27" s="3" t="inlineStr">
        <is>
          <t>B4</t>
        </is>
      </c>
      <c r="B27" s="3" t="inlineStr">
        <is>
          <t>IOB14_D12</t>
        </is>
      </c>
      <c r="C27" s="3">
        <f>IF(ISNUMBER(SEARCH("CLK",B27)),"CLK","")</f>
        <v/>
      </c>
      <c r="D27" s="3" t="inlineStr">
        <is>
          <t>ADC02_IN0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t="inlineStr">
        <is>
          <t>o_DAC_DIN(0)</t>
        </is>
      </c>
    </row>
    <row r="28">
      <c r="A28" s="3" t="inlineStr">
        <is>
          <t>B5</t>
        </is>
      </c>
      <c r="B28" s="3" t="inlineStr">
        <is>
          <t>IOB00_VDDIO</t>
        </is>
      </c>
      <c r="C28" s="3">
        <f>IF(ISNUMBER(SEARCH("CLK",B28)),"CLK","")</f>
        <v/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inlineStr">
        <is>
          <t>B6</t>
        </is>
      </c>
      <c r="B29" s="3" t="inlineStr">
        <is>
          <t>IOB00_READY</t>
        </is>
      </c>
      <c r="C29" s="3">
        <f>IF(ISNUMBER(SEARCH("CLK",B29)),"CLK","")</f>
        <v/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inlineStr">
        <is>
          <t>B7</t>
        </is>
      </c>
      <c r="B30" s="3" t="inlineStr">
        <is>
          <t>IOB00_CLK_BSM</t>
        </is>
      </c>
      <c r="C30" s="3">
        <f>IF(ISNUMBER(SEARCH("CLK",B30)),"CLK","")</f>
        <v/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>
        <is>
          <t>B8</t>
        </is>
      </c>
      <c r="B31" s="3" t="inlineStr">
        <is>
          <t>GND</t>
        </is>
      </c>
      <c r="C31" s="3">
        <f>IF(ISNUMBER(SEARCH("CLK",B31)),"CLK","")</f>
        <v/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inlineStr">
        <is>
          <t>B9</t>
        </is>
      </c>
      <c r="B32" s="3" t="inlineStr">
        <is>
          <t>CKGEN_UP_PLL_VDDA</t>
        </is>
      </c>
      <c r="C32" s="3">
        <f>IF(ISNUMBER(SEARCH("CLK",B32)),"CLK","")</f>
        <v/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B10</t>
        </is>
      </c>
      <c r="B33" s="3" t="inlineStr">
        <is>
          <t>IOB15_D10P</t>
        </is>
      </c>
      <c r="C33" s="3">
        <f>IF(ISNUMBER(SEARCH("CLK",B33)),"CLK","")</f>
        <v/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B11</t>
        </is>
      </c>
      <c r="B34" s="3" t="inlineStr">
        <is>
          <t>IOB15_D09N</t>
        </is>
      </c>
      <c r="C34" s="3">
        <f>IF(ISNUMBER(SEARCH("CLK",B34)),"CLK","")</f>
        <v/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B12</t>
        </is>
      </c>
      <c r="B35" s="3" t="inlineStr">
        <is>
          <t>IOB15_D08N</t>
        </is>
      </c>
      <c r="C35" s="3">
        <f>IF(ISNUMBER(SEARCH("CLK",B35)),"CLK","")</f>
        <v/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B13</t>
        </is>
      </c>
      <c r="B36" s="3" t="inlineStr">
        <is>
          <t>IOB15_VDDIO</t>
        </is>
      </c>
      <c r="C36" s="3">
        <f>IF(ISNUMBER(SEARCH("CLK",B36)),"CLK","")</f>
        <v/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B14</t>
        </is>
      </c>
      <c r="B37" s="3" t="inlineStr">
        <is>
          <t>IOB15_VDDIO</t>
        </is>
      </c>
      <c r="C37" s="3">
        <f>IF(ISNUMBER(SEARCH("CLK",B37)),"CLK","")</f>
        <v/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B15</t>
        </is>
      </c>
      <c r="B38" s="3" t="inlineStr">
        <is>
          <t>IOB16_D09N</t>
        </is>
      </c>
      <c r="C38" s="3">
        <f>IF(ISNUMBER(SEARCH("CLK",B38)),"CLK","")</f>
        <v/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>
        <is>
          <t>B16</t>
        </is>
      </c>
      <c r="B39" s="3" t="inlineStr">
        <is>
          <t>IOB16_D08N</t>
        </is>
      </c>
      <c r="C39" s="3">
        <f>IF(ISNUMBER(SEARCH("CLK",B39)),"CLK","")</f>
        <v/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3" t="inlineStr">
        <is>
          <t>B17</t>
        </is>
      </c>
      <c r="B40" s="3" t="inlineStr">
        <is>
          <t>IOB16_VDDIO</t>
        </is>
      </c>
      <c r="C40" s="3">
        <f>IF(ISNUMBER(SEARCH("CLK",B40)),"CLK","")</f>
        <v/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B18</t>
        </is>
      </c>
      <c r="B41" s="3" t="inlineStr">
        <is>
          <t>IOB16_VDDIO</t>
        </is>
      </c>
      <c r="C41" s="3">
        <f>IF(ISNUMBER(SEARCH("CLK",B41)),"CLK","")</f>
        <v/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B19</t>
        </is>
      </c>
      <c r="B42" s="3" t="inlineStr">
        <is>
          <t>IOB17_D09N</t>
        </is>
      </c>
      <c r="C42" s="3">
        <f>IF(ISNUMBER(SEARCH("CLK",B42)),"CLK","")</f>
        <v/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inlineStr">
        <is>
          <t>B20</t>
        </is>
      </c>
      <c r="B43" s="3" t="inlineStr">
        <is>
          <t>IOB17_D08N</t>
        </is>
      </c>
      <c r="C43" s="3">
        <f>IF(ISNUMBER(SEARCH("CLK",B43)),"CLK","")</f>
        <v/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inlineStr">
        <is>
          <t>B21</t>
        </is>
      </c>
      <c r="B44" s="3" t="inlineStr">
        <is>
          <t>IOB17_D07N</t>
        </is>
      </c>
      <c r="C44" s="3">
        <f>IF(ISNUMBER(SEARCH("CLK",B44)),"CLK","")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3" t="inlineStr">
        <is>
          <t>B22</t>
        </is>
      </c>
      <c r="B45" s="3" t="inlineStr">
        <is>
          <t>IOB17_VDDIO</t>
        </is>
      </c>
      <c r="C45" s="3">
        <f>IF(ISNUMBER(SEARCH("CLK",B45)),"CLK","")</f>
        <v/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inlineStr">
        <is>
          <t>C1</t>
        </is>
      </c>
      <c r="B46" s="3" t="inlineStr">
        <is>
          <t>GND</t>
        </is>
      </c>
      <c r="C46" s="3">
        <f>IF(ISNUMBER(SEARCH("CLK",B46)),"CLK","")</f>
        <v/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30" customHeight="1">
      <c r="A47" s="3" t="inlineStr">
        <is>
          <t>C2</t>
        </is>
      </c>
      <c r="B47" s="3" t="inlineStr">
        <is>
          <t>IOB14_D15</t>
        </is>
      </c>
      <c r="C47" s="3">
        <f>IF(ISNUMBER(SEARCH("CLK",B47)),"CLK","")</f>
        <v/>
      </c>
      <c r="D47" s="3" t="inlineStr">
        <is>
          <t>ADC03_IN2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t="inlineStr">
        <is>
          <t>i_sdi(0)</t>
        </is>
      </c>
    </row>
    <row r="48" ht="30" customHeight="1">
      <c r="A48" s="3" t="inlineStr">
        <is>
          <t>C3</t>
        </is>
      </c>
      <c r="B48" s="3" t="inlineStr">
        <is>
          <t>IOB14_D10</t>
        </is>
      </c>
      <c r="C48" s="3">
        <f>IF(ISNUMBER(SEARCH("CLK",B48)),"CLK","")</f>
        <v/>
      </c>
      <c r="D48" s="3" t="inlineStr">
        <is>
          <t>ADC02_IN4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t="inlineStr">
        <is>
          <t>o_DAC_on_off(0)</t>
        </is>
      </c>
    </row>
    <row r="49" ht="30" customHeight="1">
      <c r="A49" s="3" t="inlineStr">
        <is>
          <t>C4</t>
        </is>
      </c>
      <c r="B49" s="3" t="inlineStr">
        <is>
          <t>IOB14_D07</t>
        </is>
      </c>
      <c r="C49" s="3">
        <f>IF(ISNUMBER(SEARCH("CLK",B49)),"CLK","")</f>
        <v/>
      </c>
      <c r="D49" s="3" t="inlineStr">
        <is>
          <t>ADC02_IN2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t="inlineStr">
        <is>
          <t>o_DAC_SCLK(1)</t>
        </is>
      </c>
    </row>
    <row r="50">
      <c r="A50" s="3" t="inlineStr">
        <is>
          <t>C5</t>
        </is>
      </c>
      <c r="B50" s="3" t="inlineStr">
        <is>
          <t>IOB00_VDDIO</t>
        </is>
      </c>
      <c r="C50" s="3">
        <f>IF(ISNUMBER(SEARCH("CLK",B50)),"CLK","")</f>
        <v/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30" customHeight="1">
      <c r="A51" s="3" t="inlineStr">
        <is>
          <t>C6</t>
        </is>
      </c>
      <c r="B51" s="3" t="inlineStr">
        <is>
          <t>IOB00_DATA_OE</t>
        </is>
      </c>
      <c r="C51" s="3">
        <f>IF(ISNUMBER(SEARCH("CLK",B51)),"CLK","")</f>
        <v/>
      </c>
      <c r="D51" s="3" t="n"/>
      <c r="E51" s="3" t="n"/>
      <c r="F51" s="3" t="n"/>
      <c r="G51" s="3" t="n"/>
      <c r="H51" s="3" t="n"/>
      <c r="I51" s="3" t="inlineStr">
        <is>
          <t>SPI1_IO[1]</t>
        </is>
      </c>
      <c r="J51" s="3" t="inlineStr">
        <is>
          <t>DATA_OE</t>
        </is>
      </c>
      <c r="K51" s="3" t="n"/>
      <c r="L51" s="3" t="n"/>
      <c r="M51" s="3" t="n"/>
    </row>
    <row r="52">
      <c r="A52" s="3" t="inlineStr">
        <is>
          <t>C7</t>
        </is>
      </c>
      <c r="B52" s="3" t="inlineStr">
        <is>
          <t>IOB00_MODE3</t>
        </is>
      </c>
      <c r="C52" s="3">
        <f>IF(ISNUMBER(SEARCH("CLK",B52)),"CLK","")</f>
        <v/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>
      <c r="A53" s="3" t="inlineStr">
        <is>
          <t>C8</t>
        </is>
      </c>
      <c r="B53" s="3" t="inlineStr">
        <is>
          <t>IOB00_MODE2</t>
        </is>
      </c>
      <c r="C53" s="3">
        <f>IF(ISNUMBER(SEARCH("CLK",B53)),"CLK","")</f>
        <v/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>
      <c r="A54" s="3" t="inlineStr">
        <is>
          <t>C9</t>
        </is>
      </c>
      <c r="B54" s="3" t="inlineStr">
        <is>
          <t>CKGEN_UP_PLL_VDD1V8A</t>
        </is>
      </c>
      <c r="C54" s="3">
        <f>IF(ISNUMBER(SEARCH("CLK",B54)),"CLK","")</f>
        <v/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>
      <c r="A55" s="3" t="inlineStr">
        <is>
          <t>C10</t>
        </is>
      </c>
      <c r="B55" s="3" t="inlineStr">
        <is>
          <t>IOB15_D10N</t>
        </is>
      </c>
      <c r="C55" s="3">
        <f>IF(ISNUMBER(SEARCH("CLK",B55)),"CLK","")</f>
        <v/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t="inlineStr">
        <is>
          <t>o_spectrum_bit</t>
        </is>
      </c>
    </row>
    <row r="56">
      <c r="A56" s="3" t="inlineStr">
        <is>
          <t>C11</t>
        </is>
      </c>
      <c r="B56" s="3" t="inlineStr">
        <is>
          <t>IOB15_D11N</t>
        </is>
      </c>
      <c r="C56" s="3">
        <f>IF(ISNUMBER(SEARCH("CLK",B56)),"CLK","")</f>
        <v/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t="inlineStr">
        <is>
          <t>o_spectrum_wr_en</t>
        </is>
      </c>
    </row>
    <row r="57">
      <c r="A57" s="3" t="inlineStr">
        <is>
          <t>C12</t>
        </is>
      </c>
      <c r="B57" s="3" t="inlineStr">
        <is>
          <t>IOB15_D07N</t>
        </is>
      </c>
      <c r="C57" s="3">
        <f>IF(ISNUMBER(SEARCH("CLK",B57)),"CLK","")</f>
        <v/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t="inlineStr">
        <is>
          <t>o_spectrum_clk</t>
        </is>
      </c>
    </row>
    <row r="58">
      <c r="A58" s="3" t="inlineStr">
        <is>
          <t>C13</t>
        </is>
      </c>
      <c r="B58" s="3" t="inlineStr">
        <is>
          <t>IOB15_D06N</t>
        </is>
      </c>
      <c r="C58" s="3">
        <f>IF(ISNUMBER(SEARCH("CLK",B58)),"CLK","")</f>
        <v/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t="inlineStr">
        <is>
          <t>o_spectrum_sof</t>
        </is>
      </c>
    </row>
    <row r="59">
      <c r="A59" s="3" t="inlineStr">
        <is>
          <t>C14</t>
        </is>
      </c>
      <c r="B59" s="3" t="inlineStr">
        <is>
          <t>IOB15_D00P_SWDO</t>
        </is>
      </c>
      <c r="C59" s="3">
        <f>IF(ISNUMBER(SEARCH("CLK",B59)),"CLK","")</f>
        <v/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>
      <c r="A60" s="3" t="inlineStr">
        <is>
          <t>C15</t>
        </is>
      </c>
      <c r="B60" s="3" t="inlineStr">
        <is>
          <t>IOB16_D11P</t>
        </is>
      </c>
      <c r="C60" s="3">
        <f>IF(ISNUMBER(SEARCH("CLK",B60)),"CLK","")</f>
        <v/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t="inlineStr">
        <is>
          <t>o_spectrum_sd_bit</t>
        </is>
      </c>
    </row>
    <row r="61">
      <c r="A61" s="3" t="inlineStr">
        <is>
          <t>C16</t>
        </is>
      </c>
      <c r="B61" s="3" t="inlineStr">
        <is>
          <t>IOB16_D10P</t>
        </is>
      </c>
      <c r="C61" s="3">
        <f>IF(ISNUMBER(SEARCH("CLK",B61)),"CLK","")</f>
        <v/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t="inlineStr">
        <is>
          <t>o_spectrum_sd_wr_en</t>
        </is>
      </c>
    </row>
    <row r="62">
      <c r="A62" s="3" t="inlineStr">
        <is>
          <t>C17</t>
        </is>
      </c>
      <c r="B62" s="3" t="inlineStr">
        <is>
          <t>IOB16_D07P</t>
        </is>
      </c>
      <c r="C62" s="3">
        <f>IF(ISNUMBER(SEARCH("CLK",B62)),"CLK","")</f>
        <v/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t="inlineStr">
        <is>
          <t>o_spectrum_sd_clk</t>
        </is>
      </c>
    </row>
    <row r="63">
      <c r="A63" s="3" t="inlineStr">
        <is>
          <t>C18</t>
        </is>
      </c>
      <c r="B63" s="3" t="inlineStr">
        <is>
          <t>IOB16_D00P_SWDO</t>
        </is>
      </c>
      <c r="C63" s="3">
        <f>IF(ISNUMBER(SEARCH("CLK",B63)),"CLK","")</f>
        <v/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>
      <c r="A64" s="3" t="inlineStr">
        <is>
          <t>C19</t>
        </is>
      </c>
      <c r="B64" s="3" t="inlineStr">
        <is>
          <t>IOB17_D10P</t>
        </is>
      </c>
      <c r="C64" s="3">
        <f>IF(ISNUMBER(SEARCH("CLK",B64)),"CLK","")</f>
        <v/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>
      <c r="A65" s="3" t="inlineStr">
        <is>
          <t>C20</t>
        </is>
      </c>
      <c r="B65" s="3" t="inlineStr">
        <is>
          <t>IOB17_D07P</t>
        </is>
      </c>
      <c r="C65" s="3">
        <f>IF(ISNUMBER(SEARCH("CLK",B65)),"CLK","")</f>
        <v/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>
      <c r="A66" s="3" t="inlineStr">
        <is>
          <t>C21</t>
        </is>
      </c>
      <c r="B66" s="3" t="inlineStr">
        <is>
          <t>IOB17_D06P</t>
        </is>
      </c>
      <c r="C66" s="3">
        <f>IF(ISNUMBER(SEARCH("CLK",B66)),"CLK","")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>
      <c r="A67" s="3" t="inlineStr">
        <is>
          <t>C22</t>
        </is>
      </c>
      <c r="B67" s="3" t="inlineStr">
        <is>
          <t>IOB17_VDDIO</t>
        </is>
      </c>
      <c r="C67" s="3">
        <f>IF(ISNUMBER(SEARCH("CLK",B67)),"CLK","")</f>
        <v/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30" customHeight="1">
      <c r="A68" s="3" t="inlineStr">
        <is>
          <t>D1</t>
        </is>
      </c>
      <c r="B68" s="3" t="inlineStr">
        <is>
          <t>IOB14_D17</t>
        </is>
      </c>
      <c r="C68" s="3">
        <f>IF(ISNUMBER(SEARCH("CLK",B68)),"CLK","")</f>
        <v/>
      </c>
      <c r="D68" s="3" t="inlineStr">
        <is>
          <t>ADC03_IN4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t="inlineStr">
        <is>
          <t>o_sck(1)</t>
        </is>
      </c>
    </row>
    <row r="69" ht="30" customHeight="1">
      <c r="A69" s="3" t="inlineStr">
        <is>
          <t>D2</t>
        </is>
      </c>
      <c r="B69" s="3" t="inlineStr">
        <is>
          <t>IOB14_D13</t>
        </is>
      </c>
      <c r="C69" s="3">
        <f>IF(ISNUMBER(SEARCH("CLK",B69)),"CLK","")</f>
        <v/>
      </c>
      <c r="D69" s="3" t="inlineStr">
        <is>
          <t>ADC03_IN1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t="inlineStr">
        <is>
          <t>o_cs_n(1)</t>
        </is>
      </c>
    </row>
    <row r="70" ht="30" customHeight="1">
      <c r="A70" s="3" t="inlineStr">
        <is>
          <t>D3</t>
        </is>
      </c>
      <c r="B70" s="3" t="inlineStr">
        <is>
          <t>IOB14_D08</t>
        </is>
      </c>
      <c r="C70" s="3">
        <f>IF(ISNUMBER(SEARCH("CLK",B70)),"CLK","")</f>
        <v/>
      </c>
      <c r="D70" s="3" t="inlineStr">
        <is>
          <t>ADC02_IN1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t="inlineStr">
        <is>
          <t>o_DAC_SYNC_n(1)</t>
        </is>
      </c>
    </row>
    <row r="71">
      <c r="A71" s="3" t="inlineStr">
        <is>
          <t>D4</t>
        </is>
      </c>
      <c r="B71" s="3" t="inlineStr">
        <is>
          <t>VDD1V8A</t>
        </is>
      </c>
      <c r="C71" s="3">
        <f>IF(ISNUMBER(SEARCH("CLK",B71)),"CLK","")</f>
        <v/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>
      <c r="A72" s="3" t="inlineStr">
        <is>
          <t>D5</t>
        </is>
      </c>
      <c r="B72" s="3" t="inlineStr">
        <is>
          <t>IOB00_VDDIO</t>
        </is>
      </c>
      <c r="C72" s="3">
        <f>IF(ISNUMBER(SEARCH("CLK",B72)),"CLK","")</f>
        <v/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>
      <c r="A73" s="3" t="inlineStr">
        <is>
          <t>D6</t>
        </is>
      </c>
      <c r="B73" s="3" t="inlineStr">
        <is>
          <t>IOB00_RST_SOFT_N</t>
        </is>
      </c>
      <c r="C73" s="3">
        <f>IF(ISNUMBER(SEARCH("CLK",B73)),"CLK","")</f>
        <v/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t="inlineStr">
        <is>
          <t>i_reset</t>
        </is>
      </c>
    </row>
    <row r="74">
      <c r="A74" s="3" t="inlineStr">
        <is>
          <t>D7</t>
        </is>
      </c>
      <c r="B74" s="3" t="inlineStr">
        <is>
          <t>IOB00_TRIGGER1</t>
        </is>
      </c>
      <c r="C74" s="3">
        <f>IF(ISNUMBER(SEARCH("CLK",B74)),"CLK","")</f>
        <v/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>
      <c r="A75" s="3" t="inlineStr">
        <is>
          <t>D8</t>
        </is>
      </c>
      <c r="B75" s="3" t="inlineStr">
        <is>
          <t>IOB00_MODE1</t>
        </is>
      </c>
      <c r="C75" s="3">
        <f>IF(ISNUMBER(SEARCH("CLK",B75)),"CLK","")</f>
        <v/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>
      <c r="A76" s="3" t="inlineStr">
        <is>
          <t>D9</t>
        </is>
      </c>
      <c r="B76" s="3" t="inlineStr">
        <is>
          <t>CKGEN_UP_PLL_VDD1V8A</t>
        </is>
      </c>
      <c r="C76" s="3">
        <f>IF(ISNUMBER(SEARCH("CLK",B76)),"CLK","")</f>
        <v/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>
      <c r="A77" s="3" t="inlineStr">
        <is>
          <t>D10</t>
        </is>
      </c>
      <c r="B77" s="3" t="inlineStr">
        <is>
          <t>IOB15_D13N_SWDO</t>
        </is>
      </c>
      <c r="C77" s="3">
        <f>IF(ISNUMBER(SEARCH("CLK",B77)),"CLK","")</f>
        <v/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>
      <c r="A78" s="3" t="inlineStr">
        <is>
          <t>D11</t>
        </is>
      </c>
      <c r="B78" s="3" t="inlineStr">
        <is>
          <t>IOB15_D11P</t>
        </is>
      </c>
      <c r="C78" s="3">
        <f>IF(ISNUMBER(SEARCH("CLK",B78)),"CLK","")</f>
        <v/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>
      <c r="A79" s="3" t="inlineStr">
        <is>
          <t>D12</t>
        </is>
      </c>
      <c r="B79" s="3" t="inlineStr">
        <is>
          <t>IOB15_D07P</t>
        </is>
      </c>
      <c r="C79" s="3">
        <f>IF(ISNUMBER(SEARCH("CLK",B79)),"CLK","")</f>
        <v/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>
      <c r="A80" s="3" t="inlineStr">
        <is>
          <t>D13</t>
        </is>
      </c>
      <c r="B80" s="3" t="inlineStr">
        <is>
          <t>IOB15_D06P</t>
        </is>
      </c>
      <c r="C80" s="3">
        <f>IF(ISNUMBER(SEARCH("CLK",B80)),"CLK","")</f>
        <v/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>
      <c r="A81" s="3" t="inlineStr">
        <is>
          <t>D14</t>
        </is>
      </c>
      <c r="B81" s="3" t="inlineStr">
        <is>
          <t>IOB15_D00N_SWDO</t>
        </is>
      </c>
      <c r="C81" s="3">
        <f>IF(ISNUMBER(SEARCH("CLK",B81)),"CLK","")</f>
        <v/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>
      <c r="A82" s="3" t="inlineStr">
        <is>
          <t>D15</t>
        </is>
      </c>
      <c r="B82" s="3" t="inlineStr">
        <is>
          <t>IOB16_D11N</t>
        </is>
      </c>
      <c r="C82" s="3">
        <f>IF(ISNUMBER(SEARCH("CLK",B82)),"CLK","")</f>
        <v/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t="inlineStr">
        <is>
          <t>o_spectrum_sd_sof</t>
        </is>
      </c>
    </row>
    <row r="83">
      <c r="A83" s="3" t="inlineStr">
        <is>
          <t>D16</t>
        </is>
      </c>
      <c r="B83" s="3" t="inlineStr">
        <is>
          <t>IOB16_D10N</t>
        </is>
      </c>
      <c r="C83" s="3">
        <f>IF(ISNUMBER(SEARCH("CLK",B83)),"CLK","")</f>
        <v/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>
      <c r="A84" s="3" t="inlineStr">
        <is>
          <t>D17</t>
        </is>
      </c>
      <c r="B84" s="3" t="inlineStr">
        <is>
          <t>IOB16_D07N</t>
        </is>
      </c>
      <c r="C84" s="3">
        <f>IF(ISNUMBER(SEARCH("CLK",B84)),"CLK","")</f>
        <v/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>
      <c r="A85" s="3" t="inlineStr">
        <is>
          <t>D18</t>
        </is>
      </c>
      <c r="B85" s="3" t="inlineStr">
        <is>
          <t>IOB16_D00N_SWDO</t>
        </is>
      </c>
      <c r="C85" s="3">
        <f>IF(ISNUMBER(SEARCH("CLK",B85)),"CLK","")</f>
        <v/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>
      <c r="A86" s="3" t="inlineStr">
        <is>
          <t>D19</t>
        </is>
      </c>
      <c r="B86" s="3" t="inlineStr">
        <is>
          <t>IOB17_D10N</t>
        </is>
      </c>
      <c r="C86" s="3">
        <f>IF(ISNUMBER(SEARCH("CLK",B86)),"CLK","")</f>
        <v/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>
      <c r="A87" s="3" t="inlineStr">
        <is>
          <t>D20</t>
        </is>
      </c>
      <c r="B87" s="3" t="inlineStr">
        <is>
          <t>IOB17_D11P</t>
        </is>
      </c>
      <c r="C87" s="3">
        <f>IF(ISNUMBER(SEARCH("CLK",B87)),"CLK","")</f>
        <v/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>
      <c r="A88" s="3" t="inlineStr">
        <is>
          <t>D21</t>
        </is>
      </c>
      <c r="B88" s="3" t="inlineStr">
        <is>
          <t>IOB17_D06N</t>
        </is>
      </c>
      <c r="C88" s="3">
        <f>IF(ISNUMBER(SEARCH("CLK",B88)),"CLK","")</f>
        <v/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>
      <c r="A89" s="3" t="inlineStr">
        <is>
          <t>D22</t>
        </is>
      </c>
      <c r="B89" s="3" t="inlineStr">
        <is>
          <t>IOB17_D00P_SWDO</t>
        </is>
      </c>
      <c r="C89" s="3">
        <f>IF(ISNUMBER(SEARCH("CLK",B89)),"CLK","")</f>
        <v/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30" customHeight="1">
      <c r="A90" s="3" t="inlineStr">
        <is>
          <t>E1</t>
        </is>
      </c>
      <c r="B90" s="3" t="inlineStr">
        <is>
          <t>IOB14_D21</t>
        </is>
      </c>
      <c r="C90" s="3">
        <f>IF(ISNUMBER(SEARCH("CLK",B90)),"CLK","")</f>
        <v/>
      </c>
      <c r="D90" s="3" t="inlineStr">
        <is>
          <t>ADC03_IN6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t="inlineStr">
        <is>
          <t>i_sdi(1)</t>
        </is>
      </c>
    </row>
    <row r="91" ht="30" customHeight="1">
      <c r="A91" s="3" t="inlineStr">
        <is>
          <t>E2</t>
        </is>
      </c>
      <c r="B91" s="3" t="inlineStr">
        <is>
          <t>IOB14_D11</t>
        </is>
      </c>
      <c r="C91" s="3">
        <f>IF(ISNUMBER(SEARCH("CLK",B91)),"CLK","")</f>
        <v/>
      </c>
      <c r="D91" s="3" t="inlineStr">
        <is>
          <t>ADC02_IN7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t="inlineStr">
        <is>
          <t>o_sck(2)</t>
        </is>
      </c>
    </row>
    <row r="92" ht="30" customHeight="1">
      <c r="A92" s="3" t="inlineStr">
        <is>
          <t>E3</t>
        </is>
      </c>
      <c r="B92" s="3" t="inlineStr">
        <is>
          <t>IOB14_D09</t>
        </is>
      </c>
      <c r="C92" s="3">
        <f>IF(ISNUMBER(SEARCH("CLK",B92)),"CLK","")</f>
        <v/>
      </c>
      <c r="D92" s="3" t="inlineStr">
        <is>
          <t>ADC02_IN5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t="inlineStr">
        <is>
          <t>o_DAC_DIN(1)</t>
        </is>
      </c>
    </row>
    <row r="93">
      <c r="A93" s="3" t="inlineStr">
        <is>
          <t>E4</t>
        </is>
      </c>
      <c r="B93" s="3" t="inlineStr">
        <is>
          <t>GND</t>
        </is>
      </c>
      <c r="C93" s="3">
        <f>IF(ISNUMBER(SEARCH("CLK",B93)),"CLK","")</f>
        <v/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>
      <c r="A94" s="3" t="inlineStr">
        <is>
          <t>E5</t>
        </is>
      </c>
      <c r="B94" s="3" t="inlineStr">
        <is>
          <t>IOB00_TYPE1</t>
        </is>
      </c>
      <c r="C94" s="3">
        <f>IF(ISNUMBER(SEARCH("CLK",B94)),"CLK","")</f>
        <v/>
      </c>
      <c r="D94" s="3" t="n"/>
      <c r="E94" s="3" t="n"/>
      <c r="F94" s="3" t="n"/>
      <c r="G94" s="3" t="n"/>
      <c r="H94" s="3" t="n"/>
      <c r="I94" s="3" t="inlineStr">
        <is>
          <t>SPI2_IO[2]</t>
        </is>
      </c>
      <c r="J94" s="3" t="inlineStr">
        <is>
          <t>TYPE1</t>
        </is>
      </c>
      <c r="K94" s="3" t="n"/>
      <c r="L94" s="3" t="n"/>
      <c r="M94" s="3" t="n"/>
    </row>
    <row r="95">
      <c r="A95" s="3" t="inlineStr">
        <is>
          <t>E6</t>
        </is>
      </c>
      <c r="B95" s="3" t="inlineStr">
        <is>
          <t>IOB00_TRIGGER0</t>
        </is>
      </c>
      <c r="C95" s="3">
        <f>IF(ISNUMBER(SEARCH("CLK",B95)),"CLK","")</f>
        <v/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>
      <c r="A96" s="3" t="inlineStr">
        <is>
          <t>E7</t>
        </is>
      </c>
      <c r="B96" s="3" t="inlineStr">
        <is>
          <t>IOB00_RST_HARD_N</t>
        </is>
      </c>
      <c r="C96" s="3">
        <f>IF(ISNUMBER(SEARCH("CLK",B96)),"CLK","")</f>
        <v/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>
      <c r="A97" s="3" t="inlineStr">
        <is>
          <t>E8</t>
        </is>
      </c>
      <c r="B97" s="3" t="inlineStr">
        <is>
          <t>IOB00_MODE0</t>
        </is>
      </c>
      <c r="C97" s="3">
        <f>IF(ISNUMBER(SEARCH("CLK",B97)),"CLK","")</f>
        <v/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>
      <c r="A98" s="3" t="inlineStr">
        <is>
          <t>E9</t>
        </is>
      </c>
      <c r="B98" s="3" t="inlineStr">
        <is>
          <t>GND</t>
        </is>
      </c>
      <c r="C98" s="3">
        <f>IF(ISNUMBER(SEARCH("CLK",B98)),"CLK","")</f>
        <v/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>
      <c r="A99" s="3" t="inlineStr">
        <is>
          <t>E10</t>
        </is>
      </c>
      <c r="B99" s="3" t="inlineStr">
        <is>
          <t>IOB15_D13P_SWDO</t>
        </is>
      </c>
      <c r="C99" s="3">
        <f>IF(ISNUMBER(SEARCH("CLK",B99)),"CLK","")</f>
        <v/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>
      <c r="A100" s="3" t="inlineStr">
        <is>
          <t>E11</t>
        </is>
      </c>
      <c r="B100" s="3" t="inlineStr">
        <is>
          <t>IOB15_D05N</t>
        </is>
      </c>
      <c r="C100" s="3">
        <f>IF(ISNUMBER(SEARCH("CLK",B100)),"CLK","")</f>
        <v/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>
      <c r="A101" s="3" t="inlineStr">
        <is>
          <t>E12</t>
        </is>
      </c>
      <c r="B101" s="3" t="inlineStr">
        <is>
          <t>IOB15_D05P</t>
        </is>
      </c>
      <c r="C101" s="3">
        <f>IF(ISNUMBER(SEARCH("CLK",B101)),"CLK","")</f>
        <v/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>
      <c r="A102" s="3" t="inlineStr">
        <is>
          <t>E13</t>
        </is>
      </c>
      <c r="B102" s="3" t="inlineStr">
        <is>
          <t>GND</t>
        </is>
      </c>
      <c r="C102" s="3">
        <f>IF(ISNUMBER(SEARCH("CLK",B102)),"CLK","")</f>
        <v/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>
      <c r="A103" s="3" t="inlineStr">
        <is>
          <t>E14</t>
        </is>
      </c>
      <c r="B103" s="3" t="inlineStr">
        <is>
          <t>IOB15_D01P_SWSO</t>
        </is>
      </c>
      <c r="C103" s="3">
        <f>IF(ISNUMBER(SEARCH("CLK",B103)),"CLK","")</f>
        <v/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>
      <c r="A104" s="3" t="inlineStr">
        <is>
          <t>E15</t>
        </is>
      </c>
      <c r="B104" s="3" t="inlineStr">
        <is>
          <t>IOB16_D12P</t>
        </is>
      </c>
      <c r="C104" s="3">
        <f>IF(ISNUMBER(SEARCH("CLK",B104)),"CLK","")</f>
        <v/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>
      <c r="A105" s="3" t="inlineStr">
        <is>
          <t>E16</t>
        </is>
      </c>
      <c r="B105" s="3" t="inlineStr">
        <is>
          <t>IOB16_D06P</t>
        </is>
      </c>
      <c r="C105" s="3">
        <f>IF(ISNUMBER(SEARCH("CLK",B105)),"CLK","")</f>
        <v/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>
      <c r="A106" s="3" t="inlineStr">
        <is>
          <t>E17</t>
        </is>
      </c>
      <c r="B106" s="3" t="inlineStr">
        <is>
          <t>IOB16_D06N</t>
        </is>
      </c>
      <c r="C106" s="3">
        <f>IF(ISNUMBER(SEARCH("CLK",B106)),"CLK","")</f>
        <v/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>
      <c r="A107" s="3" t="inlineStr">
        <is>
          <t>E18</t>
        </is>
      </c>
      <c r="B107" s="3" t="inlineStr">
        <is>
          <t>IOB16_D01P_SWSO</t>
        </is>
      </c>
      <c r="C107" s="3">
        <f>IF(ISNUMBER(SEARCH("CLK",B107)),"CLK","")</f>
        <v/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>
      <c r="A108" s="3" t="inlineStr">
        <is>
          <t>E19</t>
        </is>
      </c>
      <c r="B108" s="3" t="inlineStr">
        <is>
          <t>IOB17_D12P</t>
        </is>
      </c>
      <c r="C108" s="3">
        <f>IF(ISNUMBER(SEARCH("CLK",B108)),"CLK","")</f>
        <v/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t="inlineStr">
        <is>
          <t>i_config_bit</t>
        </is>
      </c>
    </row>
    <row r="109">
      <c r="A109" s="3" t="inlineStr">
        <is>
          <t>E20</t>
        </is>
      </c>
      <c r="B109" s="3" t="inlineStr">
        <is>
          <t>IOB17_D11N</t>
        </is>
      </c>
      <c r="C109" s="3">
        <f>IF(ISNUMBER(SEARCH("CLK",B109)),"CLK","")</f>
        <v/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t="inlineStr">
        <is>
          <t>i_config_wr_en</t>
        </is>
      </c>
    </row>
    <row r="110">
      <c r="A110" s="3" t="inlineStr">
        <is>
          <t>E21</t>
        </is>
      </c>
      <c r="B110" s="3" t="inlineStr">
        <is>
          <t>IOB17_D05P</t>
        </is>
      </c>
      <c r="C110" s="3">
        <f>IF(ISNUMBER(SEARCH("CLK",B110)),"CLK","")</f>
        <v/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t="inlineStr">
        <is>
          <t>i_config_sof</t>
        </is>
      </c>
    </row>
    <row r="111">
      <c r="A111" s="3" t="inlineStr">
        <is>
          <t>E22</t>
        </is>
      </c>
      <c r="B111" s="3" t="inlineStr">
        <is>
          <t>IOB17_D00N_SWDO</t>
        </is>
      </c>
      <c r="C111" s="3">
        <f>IF(ISNUMBER(SEARCH("CLK",B111)),"CLK","")</f>
        <v/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30" customHeight="1">
      <c r="A112" s="3" t="inlineStr">
        <is>
          <t>F1</t>
        </is>
      </c>
      <c r="B112" s="3" t="inlineStr">
        <is>
          <t>IOB14_D14</t>
        </is>
      </c>
      <c r="C112" s="3">
        <f>IF(ISNUMBER(SEARCH("CLK",B112)),"CLK","")</f>
        <v/>
      </c>
      <c r="D112" s="3" t="inlineStr">
        <is>
          <t>ADC02_IN3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t="inlineStr">
        <is>
          <t>o_cs_n(2)</t>
        </is>
      </c>
    </row>
    <row r="113" ht="30" customHeight="1">
      <c r="A113" s="3" t="inlineStr">
        <is>
          <t>F2</t>
        </is>
      </c>
      <c r="B113" s="3" t="inlineStr">
        <is>
          <t>IOB14_D18</t>
        </is>
      </c>
      <c r="C113" s="3">
        <f>IF(ISNUMBER(SEARCH("CLK",B113)),"CLK","")</f>
        <v/>
      </c>
      <c r="D113" s="3" t="inlineStr">
        <is>
          <t>ADC03_IN3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t="inlineStr">
        <is>
          <t>i_sdi(2)</t>
        </is>
      </c>
    </row>
    <row r="114">
      <c r="A114" s="3" t="inlineStr">
        <is>
          <t>F3</t>
        </is>
      </c>
      <c r="B114" s="3" t="inlineStr">
        <is>
          <t>IOB14_D01</t>
        </is>
      </c>
      <c r="C114" s="3">
        <f>IF(ISNUMBER(SEARCH("CLK",B114)),"CLK","")</f>
        <v/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t="inlineStr">
        <is>
          <t>o_DAC_on_off(1)</t>
        </is>
      </c>
    </row>
    <row r="115">
      <c r="A115" s="3" t="inlineStr">
        <is>
          <t>F4</t>
        </is>
      </c>
      <c r="B115" s="3" t="inlineStr">
        <is>
          <t>IOB14_D00</t>
        </is>
      </c>
      <c r="C115" s="3">
        <f>IF(ISNUMBER(SEARCH("CLK",B115)),"CLK","")</f>
        <v/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t="inlineStr">
        <is>
          <t>o_DAC_SCLK(5)</t>
        </is>
      </c>
    </row>
    <row r="116">
      <c r="A116" s="3" t="inlineStr">
        <is>
          <t>F5</t>
        </is>
      </c>
      <c r="B116" s="3" t="inlineStr">
        <is>
          <t>GND</t>
        </is>
      </c>
      <c r="C116" s="3">
        <f>IF(ISNUMBER(SEARCH("CLK",B116)),"CLK","")</f>
        <v/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>
      <c r="A117" s="3" t="inlineStr">
        <is>
          <t>F6</t>
        </is>
      </c>
      <c r="B117" s="3" t="inlineStr">
        <is>
          <t>IOB00_TYPE0</t>
        </is>
      </c>
      <c r="C117" s="3">
        <f>IF(ISNUMBER(SEARCH("CLK",B117)),"CLK","")</f>
        <v/>
      </c>
      <c r="D117" s="3" t="n"/>
      <c r="E117" s="3" t="n"/>
      <c r="F117" s="3" t="n"/>
      <c r="G117" s="3" t="n"/>
      <c r="H117" s="3" t="n"/>
      <c r="I117" s="3" t="inlineStr">
        <is>
          <t>SPI2_IO[3]</t>
        </is>
      </c>
      <c r="J117" s="3" t="inlineStr">
        <is>
          <t>TYPE0</t>
        </is>
      </c>
      <c r="K117" s="3" t="n"/>
      <c r="L117" s="3" t="n"/>
      <c r="M117" s="3" t="n"/>
    </row>
    <row r="118">
      <c r="A118" s="3" t="inlineStr">
        <is>
          <t>F7</t>
        </is>
      </c>
      <c r="B118" s="3" t="inlineStr">
        <is>
          <t>IOB00_CS</t>
        </is>
      </c>
      <c r="C118" s="3">
        <f>IF(ISNUMBER(SEARCH("CLK",B118)),"CLK","")</f>
        <v/>
      </c>
      <c r="D118" s="3" t="n"/>
      <c r="E118" s="3" t="n"/>
      <c r="F118" s="3" t="n"/>
      <c r="G118" s="3" t="n"/>
      <c r="H118" s="3" t="n"/>
      <c r="I118" s="3" t="inlineStr">
        <is>
          <t>SPI1_IO[0]</t>
        </is>
      </c>
      <c r="J118" s="3" t="inlineStr">
        <is>
          <t>CS</t>
        </is>
      </c>
      <c r="K118" s="3" t="n"/>
      <c r="L118" s="3" t="n"/>
      <c r="M118" s="3" t="n"/>
    </row>
    <row r="119">
      <c r="A119" s="3" t="inlineStr">
        <is>
          <t>F8</t>
        </is>
      </c>
      <c r="B119" s="3" t="inlineStr">
        <is>
          <t>IOB15_D14P_SWSO</t>
        </is>
      </c>
      <c r="C119" s="3">
        <f>IF(ISNUMBER(SEARCH("CLK",B119)),"CLK","")</f>
        <v/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>
      <c r="A120" s="3" t="inlineStr">
        <is>
          <t>F9</t>
        </is>
      </c>
      <c r="B120" s="3" t="inlineStr">
        <is>
          <t>IOB15_D14N_SWSO</t>
        </is>
      </c>
      <c r="C120" s="3">
        <f>IF(ISNUMBER(SEARCH("CLK",B120)),"CLK","")</f>
        <v/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>
      <c r="A121" s="3" t="inlineStr">
        <is>
          <t>F10</t>
        </is>
      </c>
      <c r="B121" s="3" t="inlineStr">
        <is>
          <t>IOB15_D12N</t>
        </is>
      </c>
      <c r="C121" s="3">
        <f>IF(ISNUMBER(SEARCH("CLK",B121)),"CLK","")</f>
        <v/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>
      <c r="A122" s="3" t="inlineStr">
        <is>
          <t>F11</t>
        </is>
      </c>
      <c r="B122" s="3" t="inlineStr">
        <is>
          <t>IOB15_D12P</t>
        </is>
      </c>
      <c r="C122" s="3">
        <f>IF(ISNUMBER(SEARCH("CLK",B122)),"CLK","")</f>
        <v/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>
      <c r="A123" s="3" t="inlineStr">
        <is>
          <t>F12</t>
        </is>
      </c>
      <c r="B123" s="3" t="inlineStr">
        <is>
          <t>IOB15_VTO</t>
        </is>
      </c>
      <c r="C123" s="3">
        <f>IF(ISNUMBER(SEARCH("CLK",B123)),"CLK","")</f>
        <v/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>
      <c r="A124" s="3" t="inlineStr">
        <is>
          <t>F13</t>
        </is>
      </c>
      <c r="B124" s="3" t="inlineStr">
        <is>
          <t>IOB15_VTO</t>
        </is>
      </c>
      <c r="C124" s="3">
        <f>IF(ISNUMBER(SEARCH("CLK",B124)),"CLK","")</f>
        <v/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>
      <c r="A125" s="3" t="inlineStr">
        <is>
          <t>F14</t>
        </is>
      </c>
      <c r="B125" s="3" t="inlineStr">
        <is>
          <t>IOB15_D01N_SWSO</t>
        </is>
      </c>
      <c r="C125" s="3">
        <f>IF(ISNUMBER(SEARCH("CLK",B125)),"CLK","")</f>
        <v/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>
      <c r="A126" s="3" t="inlineStr">
        <is>
          <t>F15</t>
        </is>
      </c>
      <c r="B126" s="3" t="inlineStr">
        <is>
          <t>IOB16_D12N</t>
        </is>
      </c>
      <c r="C126" s="3">
        <f>IF(ISNUMBER(SEARCH("CLK",B126)),"CLK","")</f>
        <v/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>
      <c r="A127" s="3" t="inlineStr">
        <is>
          <t>F16</t>
        </is>
      </c>
      <c r="B127" s="3" t="inlineStr">
        <is>
          <t>VDD1V8A</t>
        </is>
      </c>
      <c r="C127" s="3">
        <f>IF(ISNUMBER(SEARCH("CLK",B127)),"CLK","")</f>
        <v/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>
      <c r="A128" s="3" t="inlineStr">
        <is>
          <t>F17</t>
        </is>
      </c>
      <c r="B128" s="3" t="inlineStr">
        <is>
          <t>IOB16_D05P</t>
        </is>
      </c>
      <c r="C128" s="3">
        <f>IF(ISNUMBER(SEARCH("CLK",B128)),"CLK","")</f>
        <v/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>
      <c r="A129" s="3" t="inlineStr">
        <is>
          <t>F18</t>
        </is>
      </c>
      <c r="B129" s="3" t="inlineStr">
        <is>
          <t>IOB16_D01N_SWSO</t>
        </is>
      </c>
      <c r="C129" s="3">
        <f>IF(ISNUMBER(SEARCH("CLK",B129)),"CLK","")</f>
        <v/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>
      <c r="A130" s="3" t="inlineStr">
        <is>
          <t>F19</t>
        </is>
      </c>
      <c r="B130" s="3" t="inlineStr">
        <is>
          <t>IOB17_D12N</t>
        </is>
      </c>
      <c r="C130" s="3">
        <f>IF(ISNUMBER(SEARCH("CLK",B130)),"CLK","")</f>
        <v/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>
      <c r="A131" s="3" t="inlineStr">
        <is>
          <t>F20</t>
        </is>
      </c>
      <c r="B131" s="3" t="inlineStr">
        <is>
          <t>VDD1V8A</t>
        </is>
      </c>
      <c r="C131" s="3">
        <f>IF(ISNUMBER(SEARCH("CLK",B131)),"CLK","")</f>
        <v/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>
      <c r="A132" s="3" t="inlineStr">
        <is>
          <t>F21</t>
        </is>
      </c>
      <c r="B132" s="3" t="inlineStr">
        <is>
          <t>IOB17_D05N</t>
        </is>
      </c>
      <c r="C132" s="3">
        <f>IF(ISNUMBER(SEARCH("CLK",B132)),"CLK","")</f>
        <v/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>
      <c r="A133" s="3" t="inlineStr">
        <is>
          <t>F22</t>
        </is>
      </c>
      <c r="B133" s="3" t="inlineStr">
        <is>
          <t>IOB17_D01P_SWSO</t>
        </is>
      </c>
      <c r="C133" s="3">
        <f>IF(ISNUMBER(SEARCH("CLK",B133)),"CLK","")</f>
        <v/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>
      <c r="A134" s="3" t="inlineStr">
        <is>
          <t>G1</t>
        </is>
      </c>
      <c r="B134" s="3" t="inlineStr">
        <is>
          <t>IOB14_D23</t>
        </is>
      </c>
      <c r="C134" s="3">
        <f>IF(ISNUMBER(SEARCH("CLK",B134)),"CLK","")</f>
        <v/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t="inlineStr">
        <is>
          <t>o_sck(3)</t>
        </is>
      </c>
    </row>
    <row r="135">
      <c r="A135" s="3" t="inlineStr">
        <is>
          <t>G2</t>
        </is>
      </c>
      <c r="B135" s="3" t="inlineStr">
        <is>
          <t>IOB14_D03</t>
        </is>
      </c>
      <c r="C135" s="3">
        <f>IF(ISNUMBER(SEARCH("CLK",B135)),"CLK","")</f>
        <v/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t="inlineStr">
        <is>
          <t>o_cs_n(3)</t>
        </is>
      </c>
    </row>
    <row r="136">
      <c r="A136" s="3" t="inlineStr">
        <is>
          <t>G3</t>
        </is>
      </c>
      <c r="B136" s="3" t="inlineStr">
        <is>
          <t>IOB14_D04</t>
        </is>
      </c>
      <c r="C136" s="3">
        <f>IF(ISNUMBER(SEARCH("CLK",B136)),"CLK","")</f>
        <v/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t="inlineStr">
        <is>
          <t>o_DAC_SYNC_n(5)</t>
        </is>
      </c>
    </row>
    <row r="137" ht="30" customHeight="1">
      <c r="A137" s="3" t="inlineStr">
        <is>
          <t>G4</t>
        </is>
      </c>
      <c r="B137" s="3" t="inlineStr">
        <is>
          <t>DAC02_OUT</t>
        </is>
      </c>
      <c r="C137" s="3">
        <f>IF(ISNUMBER(SEARCH("CLK",B137)),"CLK","")</f>
        <v/>
      </c>
      <c r="D137" s="3" t="n"/>
      <c r="E137" s="3" t="inlineStr">
        <is>
          <t>DAC02_OUT</t>
        </is>
      </c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 ht="30" customHeight="1">
      <c r="A138" s="3" t="inlineStr">
        <is>
          <t>G5</t>
        </is>
      </c>
      <c r="B138" s="3" t="inlineStr">
        <is>
          <t>DAC_VDD1V8A</t>
        </is>
      </c>
      <c r="C138" s="3">
        <f>IF(ISNUMBER(SEARCH("CLK",B138)),"CLK","")</f>
        <v/>
      </c>
      <c r="D138" s="3" t="n"/>
      <c r="E138" s="3" t="inlineStr">
        <is>
          <t>DAC_VDD1V8A</t>
        </is>
      </c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>
      <c r="A139" s="3" t="inlineStr">
        <is>
          <t>G6</t>
        </is>
      </c>
      <c r="B139" s="3" t="inlineStr">
        <is>
          <t>IOB00_TDO</t>
        </is>
      </c>
      <c r="C139" s="3">
        <f>IF(ISNUMBER(SEARCH("CLK",B139)),"CLK","")</f>
        <v/>
      </c>
      <c r="D139" s="3" t="n"/>
      <c r="E139" s="3" t="n"/>
      <c r="F139" s="3" t="inlineStr">
        <is>
          <t>TDO</t>
        </is>
      </c>
      <c r="G139" s="3" t="n"/>
      <c r="H139" s="3" t="n"/>
      <c r="I139" s="3" t="n"/>
      <c r="J139" s="3" t="n"/>
      <c r="K139" s="3" t="n"/>
      <c r="L139" s="3" t="n"/>
      <c r="M139" s="3" t="n"/>
    </row>
    <row r="140">
      <c r="A140" s="3" t="inlineStr">
        <is>
          <t>G7</t>
        </is>
      </c>
      <c r="B140" s="3" t="inlineStr">
        <is>
          <t>IOB00_TCK</t>
        </is>
      </c>
      <c r="C140" s="3">
        <f>IF(ISNUMBER(SEARCH("CLK",B140)),"CLK","")</f>
        <v/>
      </c>
      <c r="D140" s="3" t="n"/>
      <c r="E140" s="3" t="n"/>
      <c r="F140" s="3" t="inlineStr">
        <is>
          <t>TCK</t>
        </is>
      </c>
      <c r="G140" s="3" t="n"/>
      <c r="H140" s="3" t="n"/>
      <c r="I140" s="3" t="n"/>
      <c r="J140" s="3" t="n"/>
      <c r="K140" s="3" t="n"/>
      <c r="L140" s="3" t="n"/>
      <c r="M140" s="3" t="n"/>
    </row>
    <row r="141">
      <c r="A141" s="3" t="inlineStr">
        <is>
          <t>G8</t>
        </is>
      </c>
      <c r="B141" s="3" t="inlineStr">
        <is>
          <t>IOB15_D16P_SWSI</t>
        </is>
      </c>
      <c r="C141" s="3">
        <f>IF(ISNUMBER(SEARCH("CLK",B141)),"CLK","")</f>
        <v/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>
      <c r="A142" s="3" t="inlineStr">
        <is>
          <t>G9</t>
        </is>
      </c>
      <c r="B142" s="3" t="inlineStr">
        <is>
          <t>VDD1V8A</t>
        </is>
      </c>
      <c r="C142" s="3">
        <f>IF(ISNUMBER(SEARCH("CLK",B142)),"CLK","")</f>
        <v/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>
      <c r="A143" s="3" t="inlineStr">
        <is>
          <t>G10</t>
        </is>
      </c>
      <c r="B143" s="3" t="inlineStr">
        <is>
          <t>GND</t>
        </is>
      </c>
      <c r="C143" s="3">
        <f>IF(ISNUMBER(SEARCH("CLK",B143)),"CLK","")</f>
        <v/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>
      <c r="A144" s="3" t="inlineStr">
        <is>
          <t>G11</t>
        </is>
      </c>
      <c r="B144" s="3" t="inlineStr">
        <is>
          <t>IOB15_VDDS</t>
        </is>
      </c>
      <c r="C144" s="3">
        <f>IF(ISNUMBER(SEARCH("CLK",B144)),"CLK","")</f>
        <v/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>
      <c r="A145" s="3" t="inlineStr">
        <is>
          <t>G12</t>
        </is>
      </c>
      <c r="B145" s="3" t="inlineStr">
        <is>
          <t>IOB15_D04N</t>
        </is>
      </c>
      <c r="C145" s="3">
        <f>IF(ISNUMBER(SEARCH("CLK",B145)),"CLK","")</f>
        <v/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>
      <c r="A146" s="3" t="inlineStr">
        <is>
          <t>G13</t>
        </is>
      </c>
      <c r="B146" s="3" t="inlineStr">
        <is>
          <t>IOB15_D04P</t>
        </is>
      </c>
      <c r="C146" s="3">
        <f>IF(ISNUMBER(SEARCH("CLK",B146)),"CLK","")</f>
        <v/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>
      <c r="A147" s="3" t="inlineStr">
        <is>
          <t>G14</t>
        </is>
      </c>
      <c r="B147" s="3" t="inlineStr">
        <is>
          <t>IOB15_D02P_SWDI</t>
        </is>
      </c>
      <c r="C147" s="3">
        <f>IF(ISNUMBER(SEARCH("CLK",B147)),"CLK","")</f>
        <v/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>
      <c r="A148" s="3" t="inlineStr">
        <is>
          <t>G15</t>
        </is>
      </c>
      <c r="B148" s="3" t="inlineStr">
        <is>
          <t>IOB16_D16P_SWSI</t>
        </is>
      </c>
      <c r="C148" s="3">
        <f>IF(ISNUMBER(SEARCH("CLK",B148)),"CLK","")</f>
        <v/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>
      <c r="A149" s="3" t="inlineStr">
        <is>
          <t>G16</t>
        </is>
      </c>
      <c r="B149" s="3" t="inlineStr">
        <is>
          <t>GND</t>
        </is>
      </c>
      <c r="C149" s="3">
        <f>IF(ISNUMBER(SEARCH("CLK",B149)),"CLK","")</f>
        <v/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>
      <c r="A150" s="3" t="inlineStr">
        <is>
          <t>G17</t>
        </is>
      </c>
      <c r="B150" s="3" t="inlineStr">
        <is>
          <t>IOB16_D05N</t>
        </is>
      </c>
      <c r="C150" s="3">
        <f>IF(ISNUMBER(SEARCH("CLK",B150)),"CLK","")</f>
        <v/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>
      <c r="A151" s="3" t="inlineStr">
        <is>
          <t>G18</t>
        </is>
      </c>
      <c r="B151" s="3" t="inlineStr">
        <is>
          <t>GND</t>
        </is>
      </c>
      <c r="C151" s="3">
        <f>IF(ISNUMBER(SEARCH("CLK",B151)),"CLK","")</f>
        <v/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s="3" t="inlineStr">
        <is>
          <t>G19</t>
        </is>
      </c>
      <c r="B152" s="3" t="inlineStr">
        <is>
          <t>IOB17_D13P_SWDO</t>
        </is>
      </c>
      <c r="C152" s="3">
        <f>IF(ISNUMBER(SEARCH("CLK",B152)),"CLK","")</f>
        <v/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>
      <c r="A153" s="3" t="inlineStr">
        <is>
          <t>G20</t>
        </is>
      </c>
      <c r="B153" s="3" t="inlineStr">
        <is>
          <t>GND</t>
        </is>
      </c>
      <c r="C153" s="3">
        <f>IF(ISNUMBER(SEARCH("CLK",B153)),"CLK","")</f>
        <v/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>
      <c r="A154" s="3" t="inlineStr">
        <is>
          <t>G21</t>
        </is>
      </c>
      <c r="B154" s="3" t="inlineStr">
        <is>
          <t>IOB17_D04P</t>
        </is>
      </c>
      <c r="C154" s="3">
        <f>IF(ISNUMBER(SEARCH("CLK",B154)),"CLK","")</f>
        <v/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>
      <c r="A155" s="3" t="inlineStr">
        <is>
          <t>G22</t>
        </is>
      </c>
      <c r="B155" s="3" t="inlineStr">
        <is>
          <t>IOB17_D01N_SWSO</t>
        </is>
      </c>
      <c r="C155" s="3">
        <f>IF(ISNUMBER(SEARCH("CLK",B155)),"CLK","")</f>
        <v/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>
      <c r="A156" s="3" t="inlineStr">
        <is>
          <t>H1</t>
        </is>
      </c>
      <c r="B156" s="3" t="inlineStr">
        <is>
          <t>IOB14_D05</t>
        </is>
      </c>
      <c r="C156" s="3">
        <f>IF(ISNUMBER(SEARCH("CLK",B156)),"CLK","")</f>
        <v/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t="inlineStr">
        <is>
          <t>i_sdi(3)</t>
        </is>
      </c>
    </row>
    <row r="157">
      <c r="A157" s="3" t="inlineStr">
        <is>
          <t>H2</t>
        </is>
      </c>
      <c r="B157" s="3" t="inlineStr">
        <is>
          <t>IOB14_D06</t>
        </is>
      </c>
      <c r="C157" s="3">
        <f>IF(ISNUMBER(SEARCH("CLK",B157)),"CLK","")</f>
        <v/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>
      <c r="A158" s="3" t="inlineStr">
        <is>
          <t>H3</t>
        </is>
      </c>
      <c r="B158" s="3" t="inlineStr">
        <is>
          <t>IOB14_D02</t>
        </is>
      </c>
      <c r="C158" s="3">
        <f>IF(ISNUMBER(SEARCH("CLK",B158)),"CLK","")</f>
        <v/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t="inlineStr">
        <is>
          <t>o_DAC_DIN(5)</t>
        </is>
      </c>
    </row>
    <row r="159" ht="30" customHeight="1">
      <c r="A159" s="3" t="inlineStr">
        <is>
          <t>H4</t>
        </is>
      </c>
      <c r="B159" s="3" t="inlineStr">
        <is>
          <t>DAC00_OUT</t>
        </is>
      </c>
      <c r="C159" s="3">
        <f>IF(ISNUMBER(SEARCH("CLK",B159)),"CLK","")</f>
        <v/>
      </c>
      <c r="D159" s="3" t="n"/>
      <c r="E159" s="3" t="inlineStr">
        <is>
          <t>DAC00_OUT</t>
        </is>
      </c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>
      <c r="A160" s="3" t="inlineStr">
        <is>
          <t>H5</t>
        </is>
      </c>
      <c r="B160" s="3" t="inlineStr">
        <is>
          <t>GND</t>
        </is>
      </c>
      <c r="C160" s="3">
        <f>IF(ISNUMBER(SEARCH("CLK",B160)),"CLK","")</f>
        <v/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>
      <c r="A161" s="3" t="inlineStr">
        <is>
          <t>H6</t>
        </is>
      </c>
      <c r="B161" s="3" t="inlineStr">
        <is>
          <t>IOB00_TMS</t>
        </is>
      </c>
      <c r="C161" s="3">
        <f>IF(ISNUMBER(SEARCH("CLK",B161)),"CLK","")</f>
        <v/>
      </c>
      <c r="D161" s="3" t="n"/>
      <c r="E161" s="3" t="n"/>
      <c r="F161" s="3" t="inlineStr">
        <is>
          <t>TMS</t>
        </is>
      </c>
      <c r="G161" s="3" t="n"/>
      <c r="H161" s="3" t="n"/>
      <c r="I161" s="3" t="n"/>
      <c r="J161" s="3" t="n"/>
      <c r="K161" s="3" t="n"/>
      <c r="L161" s="3" t="n"/>
      <c r="M161" s="3" t="n"/>
    </row>
    <row r="162">
      <c r="A162" s="3" t="inlineStr">
        <is>
          <t>H7</t>
        </is>
      </c>
      <c r="B162" s="3" t="inlineStr">
        <is>
          <t>IOB00_TDI</t>
        </is>
      </c>
      <c r="C162" s="3">
        <f>IF(ISNUMBER(SEARCH("CLK",B162)),"CLK","")</f>
        <v/>
      </c>
      <c r="D162" s="3" t="n"/>
      <c r="E162" s="3" t="n"/>
      <c r="F162" s="3" t="inlineStr">
        <is>
          <t>TDI</t>
        </is>
      </c>
      <c r="G162" s="3" t="n"/>
      <c r="H162" s="3" t="n"/>
      <c r="I162" s="3" t="n"/>
      <c r="J162" s="3" t="n"/>
      <c r="K162" s="3" t="n"/>
      <c r="L162" s="3" t="n"/>
      <c r="M162" s="3" t="n"/>
    </row>
    <row r="163">
      <c r="A163" s="3" t="inlineStr">
        <is>
          <t>H8</t>
        </is>
      </c>
      <c r="B163" s="3" t="inlineStr">
        <is>
          <t>IOB15_D16N_SWSI</t>
        </is>
      </c>
      <c r="C163" s="3">
        <f>IF(ISNUMBER(SEARCH("CLK",B163)),"CLK","")</f>
        <v/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>
      <c r="A164" s="3" t="inlineStr">
        <is>
          <t>H9</t>
        </is>
      </c>
      <c r="B164" s="3" t="inlineStr">
        <is>
          <t>IOB15_D15P_SWDI</t>
        </is>
      </c>
      <c r="C164" s="3">
        <f>IF(ISNUMBER(SEARCH("CLK",B164)),"CLK","")</f>
        <v/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>
      <c r="A165" s="3" t="inlineStr">
        <is>
          <t>H10</t>
        </is>
      </c>
      <c r="B165" s="3" t="inlineStr">
        <is>
          <t>IOB15_D15N_SWDI</t>
        </is>
      </c>
      <c r="C165" s="3">
        <f>IF(ISNUMBER(SEARCH("CLK",B165)),"CLK","")</f>
        <v/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>
      <c r="A166" s="3" t="inlineStr">
        <is>
          <t>H11</t>
        </is>
      </c>
      <c r="B166" s="3" t="inlineStr">
        <is>
          <t>IOB15_D03N_SWSI</t>
        </is>
      </c>
      <c r="C166" s="3">
        <f>IF(ISNUMBER(SEARCH("CLK",B166)),"CLK","")</f>
        <v/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>
      <c r="A167" s="3" t="inlineStr">
        <is>
          <t>H12</t>
        </is>
      </c>
      <c r="B167" s="3" t="inlineStr">
        <is>
          <t>IOB15_D03P_SWSI</t>
        </is>
      </c>
      <c r="C167" s="3">
        <f>IF(ISNUMBER(SEARCH("CLK",B167)),"CLK","")</f>
        <v/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>
      <c r="A168" s="3" t="inlineStr">
        <is>
          <t>H13</t>
        </is>
      </c>
      <c r="B168" s="3" t="inlineStr">
        <is>
          <t>IOB15_D02N_SWDI</t>
        </is>
      </c>
      <c r="C168" s="3">
        <f>IF(ISNUMBER(SEARCH("CLK",B168)),"CLK","")</f>
        <v/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>
      <c r="A169" s="3" t="inlineStr">
        <is>
          <t>H14</t>
        </is>
      </c>
      <c r="B169" s="3" t="inlineStr">
        <is>
          <t>GND</t>
        </is>
      </c>
      <c r="C169" s="3">
        <f>IF(ISNUMBER(SEARCH("CLK",B169)),"CLK","")</f>
        <v/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>
      <c r="A170" s="3" t="inlineStr">
        <is>
          <t>H15</t>
        </is>
      </c>
      <c r="B170" s="3" t="inlineStr">
        <is>
          <t>IOB16_D16N_SWSI</t>
        </is>
      </c>
      <c r="C170" s="3">
        <f>IF(ISNUMBER(SEARCH("CLK",B170)),"CLK","")</f>
        <v/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>
      <c r="A171" s="3" t="inlineStr">
        <is>
          <t>H16</t>
        </is>
      </c>
      <c r="B171" s="3" t="inlineStr">
        <is>
          <t>IOB16_D13P_SWDO</t>
        </is>
      </c>
      <c r="C171" s="3">
        <f>IF(ISNUMBER(SEARCH("CLK",B171)),"CLK","")</f>
        <v/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>
      <c r="A172" s="3" t="inlineStr">
        <is>
          <t>H17</t>
        </is>
      </c>
      <c r="B172" s="3" t="inlineStr">
        <is>
          <t>IOB16_D04P</t>
        </is>
      </c>
      <c r="C172" s="3">
        <f>IF(ISNUMBER(SEARCH("CLK",B172)),"CLK","")</f>
        <v/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>
      <c r="A173" s="3" t="inlineStr">
        <is>
          <t>H18</t>
        </is>
      </c>
      <c r="B173" s="3" t="inlineStr">
        <is>
          <t>IOB16_D02P_SWDI</t>
        </is>
      </c>
      <c r="C173" s="3">
        <f>IF(ISNUMBER(SEARCH("CLK",B173)),"CLK","")</f>
        <v/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>
      <c r="A174" s="3" t="inlineStr">
        <is>
          <t>H19</t>
        </is>
      </c>
      <c r="B174" s="3" t="inlineStr">
        <is>
          <t>IOB17_D13N_SWDO</t>
        </is>
      </c>
      <c r="C174" s="3">
        <f>IF(ISNUMBER(SEARCH("CLK",B174)),"CLK","")</f>
        <v/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>
      <c r="A175" s="3" t="inlineStr">
        <is>
          <t>H20</t>
        </is>
      </c>
      <c r="B175" s="3" t="inlineStr">
        <is>
          <t>IOB17_D14P_SWSO</t>
        </is>
      </c>
      <c r="C175" s="3">
        <f>IF(ISNUMBER(SEARCH("CLK",B175)),"CLK","")</f>
        <v/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>
      <c r="A176" s="3" t="inlineStr">
        <is>
          <t>H21</t>
        </is>
      </c>
      <c r="B176" s="3" t="inlineStr">
        <is>
          <t>IOB17_D04N</t>
        </is>
      </c>
      <c r="C176" s="3">
        <f>IF(ISNUMBER(SEARCH("CLK",B176)),"CLK","")</f>
        <v/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>
      <c r="A177" s="3" t="inlineStr">
        <is>
          <t>H22</t>
        </is>
      </c>
      <c r="B177" s="3" t="inlineStr">
        <is>
          <t>IOB17_D03N_SWSI</t>
        </is>
      </c>
      <c r="C177" s="3">
        <f>IF(ISNUMBER(SEARCH("CLK",B177)),"CLK","")</f>
        <v/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 ht="30" customHeight="1">
      <c r="A178" s="3" t="inlineStr">
        <is>
          <t>J1</t>
        </is>
      </c>
      <c r="B178" s="3" t="inlineStr">
        <is>
          <t>IOB13_D10</t>
        </is>
      </c>
      <c r="C178" s="3">
        <f>IF(ISNUMBER(SEARCH("CLK",B178)),"CLK","")</f>
        <v/>
      </c>
      <c r="D178" s="3" t="n"/>
      <c r="E178" s="3" t="inlineStr">
        <is>
          <t xml:space="preserve">DAC02_COMPIN0               </t>
        </is>
      </c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 ht="30" customHeight="1">
      <c r="A179" s="3" t="inlineStr">
        <is>
          <t>J2</t>
        </is>
      </c>
      <c r="B179" s="3" t="inlineStr">
        <is>
          <t>IOB13_D05</t>
        </is>
      </c>
      <c r="C179" s="3">
        <f>IF(ISNUMBER(SEARCH("CLK",B179)),"CLK","")</f>
        <v/>
      </c>
      <c r="D179" s="3" t="n"/>
      <c r="E179" s="3" t="inlineStr">
        <is>
          <t xml:space="preserve">DAC01_COMPIN0               </t>
        </is>
      </c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>
      <c r="A180" s="3" t="inlineStr">
        <is>
          <t>J3</t>
        </is>
      </c>
      <c r="B180" s="3" t="inlineStr">
        <is>
          <t>GND</t>
        </is>
      </c>
      <c r="C180" s="3">
        <f>IF(ISNUMBER(SEARCH("CLK",B180)),"CLK","")</f>
        <v/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 ht="30" customHeight="1">
      <c r="A181" s="3" t="inlineStr">
        <is>
          <t>J4</t>
        </is>
      </c>
      <c r="B181" s="3" t="inlineStr">
        <is>
          <t>DAC01_OUT</t>
        </is>
      </c>
      <c r="C181" s="3">
        <f>IF(ISNUMBER(SEARCH("CLK",B181)),"CLK","")</f>
        <v/>
      </c>
      <c r="D181" s="3" t="n"/>
      <c r="E181" s="3" t="inlineStr">
        <is>
          <t>DAC01_OUT</t>
        </is>
      </c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 ht="30" customHeight="1">
      <c r="A182" s="3" t="inlineStr">
        <is>
          <t>J5</t>
        </is>
      </c>
      <c r="B182" s="3" t="inlineStr">
        <is>
          <t>DAC_VDD1V8A</t>
        </is>
      </c>
      <c r="C182" s="3">
        <f>IF(ISNUMBER(SEARCH("CLK",B182)),"CLK","")</f>
        <v/>
      </c>
      <c r="D182" s="3" t="n"/>
      <c r="E182" s="3" t="inlineStr">
        <is>
          <t>DAC_VDD1V8A</t>
        </is>
      </c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 ht="30" customHeight="1">
      <c r="A183" s="3" t="inlineStr">
        <is>
          <t>J6</t>
        </is>
      </c>
      <c r="B183" s="3" t="inlineStr">
        <is>
          <t>IOB00_USER7</t>
        </is>
      </c>
      <c r="C183" s="3">
        <f>IF(ISNUMBER(SEARCH("CLK",B183)),"CLK","")</f>
        <v/>
      </c>
      <c r="D183" s="3" t="n"/>
      <c r="E183" s="3" t="n"/>
      <c r="F183" s="3" t="n"/>
      <c r="G183" s="3" t="n"/>
      <c r="H183" s="3" t="n"/>
      <c r="I183" s="3" t="inlineStr">
        <is>
          <t>SPI1_VCC[2]</t>
        </is>
      </c>
      <c r="J183" s="3" t="n"/>
      <c r="K183" s="3" t="inlineStr">
        <is>
          <t>SOUT</t>
        </is>
      </c>
      <c r="L183" s="3" t="n"/>
      <c r="M183" s="3" t="inlineStr">
        <is>
          <t>SCAN_ENABLE</t>
        </is>
      </c>
    </row>
    <row r="184">
      <c r="A184" s="3" t="inlineStr">
        <is>
          <t>J7</t>
        </is>
      </c>
      <c r="B184" s="3" t="inlineStr">
        <is>
          <t>IOB00_USER0</t>
        </is>
      </c>
      <c r="C184" s="3">
        <f>IF(ISNUMBER(SEARCH("CLK",B184)),"CLK","")</f>
        <v/>
      </c>
      <c r="D184" s="3" t="n"/>
      <c r="E184" s="3" t="n"/>
      <c r="F184" s="3" t="n"/>
      <c r="G184" s="3" t="n"/>
      <c r="H184" s="3" t="n"/>
      <c r="I184" s="3" t="inlineStr">
        <is>
          <t>SPI1_SCLK</t>
        </is>
      </c>
      <c r="J184" s="3" t="n"/>
      <c r="K184" s="3" t="n"/>
      <c r="L184" s="3" t="n"/>
      <c r="M184" s="3" t="n"/>
    </row>
    <row r="185">
      <c r="A185" s="3" t="inlineStr">
        <is>
          <t>J8</t>
        </is>
      </c>
      <c r="B185" s="3" t="inlineStr">
        <is>
          <t>GND</t>
        </is>
      </c>
      <c r="C185" s="3">
        <f>IF(ISNUMBER(SEARCH("CLK",B185)),"CLK","")</f>
        <v/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>
      <c r="A186" s="3" t="inlineStr">
        <is>
          <t>J9</t>
        </is>
      </c>
      <c r="B186" s="3" t="inlineStr">
        <is>
          <t>VDDCORE</t>
        </is>
      </c>
      <c r="C186" s="3">
        <f>IF(ISNUMBER(SEARCH("CLK",B186)),"CLK","")</f>
        <v/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>
      <c r="A187" s="3" t="inlineStr">
        <is>
          <t>J10</t>
        </is>
      </c>
      <c r="B187" s="3" t="inlineStr">
        <is>
          <t>GND</t>
        </is>
      </c>
      <c r="C187" s="3">
        <f>IF(ISNUMBER(SEARCH("CLK",B187)),"CLK","")</f>
        <v/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>
      <c r="A188" s="3" t="inlineStr">
        <is>
          <t>J11</t>
        </is>
      </c>
      <c r="B188" s="3" t="inlineStr">
        <is>
          <t>VDDCORE</t>
        </is>
      </c>
      <c r="C188" s="3">
        <f>IF(ISNUMBER(SEARCH("CLK",B188)),"CLK","")</f>
        <v/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>
      <c r="A189" s="3" t="inlineStr">
        <is>
          <t>J12</t>
        </is>
      </c>
      <c r="B189" s="3" t="inlineStr">
        <is>
          <t>GND</t>
        </is>
      </c>
      <c r="C189" s="3">
        <f>IF(ISNUMBER(SEARCH("CLK",B189)),"CLK","")</f>
        <v/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>
      <c r="A190" s="3" t="inlineStr">
        <is>
          <t>J13</t>
        </is>
      </c>
      <c r="B190" s="3" t="inlineStr">
        <is>
          <t>VDDCORE</t>
        </is>
      </c>
      <c r="C190" s="3">
        <f>IF(ISNUMBER(SEARCH("CLK",B190)),"CLK","")</f>
        <v/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>
      <c r="A191" s="3" t="inlineStr">
        <is>
          <t>J14</t>
        </is>
      </c>
      <c r="B191" s="3" t="inlineStr">
        <is>
          <t>GND</t>
        </is>
      </c>
      <c r="C191" s="3">
        <f>IF(ISNUMBER(SEARCH("CLK",B191)),"CLK","")</f>
        <v/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>
      <c r="A192" s="3" t="inlineStr">
        <is>
          <t>J15</t>
        </is>
      </c>
      <c r="B192" s="3" t="inlineStr">
        <is>
          <t>VDDCORE</t>
        </is>
      </c>
      <c r="C192" s="3">
        <f>IF(ISNUMBER(SEARCH("CLK",B192)),"CLK","")</f>
        <v/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>
      <c r="A193" s="3" t="inlineStr">
        <is>
          <t>J16</t>
        </is>
      </c>
      <c r="B193" s="3" t="inlineStr">
        <is>
          <t>IOB16_D13N_SWDO</t>
        </is>
      </c>
      <c r="C193" s="3">
        <f>IF(ISNUMBER(SEARCH("CLK",B193)),"CLK","")</f>
        <v/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>
      <c r="A194" s="3" t="inlineStr">
        <is>
          <t>J17</t>
        </is>
      </c>
      <c r="B194" s="3" t="inlineStr">
        <is>
          <t>IOB16_D04N</t>
        </is>
      </c>
      <c r="C194" s="3">
        <f>IF(ISNUMBER(SEARCH("CLK",B194)),"CLK","")</f>
        <v/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>
      <c r="A195" s="3" t="inlineStr">
        <is>
          <t>J18</t>
        </is>
      </c>
      <c r="B195" s="3" t="inlineStr">
        <is>
          <t>IOB16_D02N_SWDI</t>
        </is>
      </c>
      <c r="C195" s="3">
        <f>IF(ISNUMBER(SEARCH("CLK",B195)),"CLK","")</f>
        <v/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>
      <c r="A196" s="3" t="inlineStr">
        <is>
          <t>J19</t>
        </is>
      </c>
      <c r="B196" s="3" t="inlineStr">
        <is>
          <t>IOB17_D15N_SWDI</t>
        </is>
      </c>
      <c r="C196" s="3">
        <f>IF(ISNUMBER(SEARCH("CLK",B196)),"CLK","")</f>
        <v/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>
      <c r="A197" s="3" t="inlineStr">
        <is>
          <t>J20</t>
        </is>
      </c>
      <c r="B197" s="3" t="inlineStr">
        <is>
          <t>IOB17_D14N_SWSO</t>
        </is>
      </c>
      <c r="C197" s="3">
        <f>IF(ISNUMBER(SEARCH("CLK",B197)),"CLK","")</f>
        <v/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>
      <c r="A198" s="3" t="inlineStr">
        <is>
          <t>J21</t>
        </is>
      </c>
      <c r="B198" s="3" t="inlineStr">
        <is>
          <t>IOB17_D02P_SWDI</t>
        </is>
      </c>
      <c r="C198" s="3">
        <f>IF(ISNUMBER(SEARCH("CLK",B198)),"CLK","")</f>
        <v/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>
      <c r="A199" s="3" t="inlineStr">
        <is>
          <t>J22</t>
        </is>
      </c>
      <c r="B199" s="3" t="inlineStr">
        <is>
          <t>IOB17_D03P_SWSI</t>
        </is>
      </c>
      <c r="C199" s="3">
        <f>IF(ISNUMBER(SEARCH("CLK",B199)),"CLK","")</f>
        <v/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 ht="30" customHeight="1">
      <c r="A200" s="3" t="inlineStr">
        <is>
          <t>K1</t>
        </is>
      </c>
      <c r="B200" s="3" t="inlineStr">
        <is>
          <t>IOB13_D04</t>
        </is>
      </c>
      <c r="C200" s="3">
        <f>IF(ISNUMBER(SEARCH("CLK",B200)),"CLK","")</f>
        <v/>
      </c>
      <c r="D200" s="3" t="n"/>
      <c r="E200" s="3" t="inlineStr">
        <is>
          <t xml:space="preserve">DAC01_COMPIN1               </t>
        </is>
      </c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 ht="30" customHeight="1">
      <c r="A201" s="3" t="inlineStr">
        <is>
          <t>K2</t>
        </is>
      </c>
      <c r="B201" s="3" t="inlineStr">
        <is>
          <t>IOB13_D06</t>
        </is>
      </c>
      <c r="C201" s="3">
        <f>IF(ISNUMBER(SEARCH("CLK",B201)),"CLK","")</f>
        <v/>
      </c>
      <c r="D201" s="3" t="n"/>
      <c r="E201" s="3" t="inlineStr">
        <is>
          <t xml:space="preserve">DAC01_COMPIN3               </t>
        </is>
      </c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 ht="30" customHeight="1">
      <c r="A202" s="3" t="inlineStr">
        <is>
          <t>K3</t>
        </is>
      </c>
      <c r="B202" s="3" t="inlineStr">
        <is>
          <t>IOB13_D12</t>
        </is>
      </c>
      <c r="C202" s="3">
        <f>IF(ISNUMBER(SEARCH("CLK",B202)),"CLK","")</f>
        <v/>
      </c>
      <c r="D202" s="3" t="n"/>
      <c r="E202" s="3" t="inlineStr">
        <is>
          <t xml:space="preserve">DAC03_COMPIN3               </t>
        </is>
      </c>
      <c r="F202" s="3" t="n"/>
      <c r="G202" s="3" t="n"/>
      <c r="H202" s="3" t="n"/>
      <c r="I202" s="3" t="n"/>
      <c r="J202" s="3" t="n"/>
      <c r="K202" s="3" t="n"/>
      <c r="L202" s="3" t="n"/>
      <c r="M202" s="3" t="n"/>
      <c r="N202" t="inlineStr">
        <is>
          <t>o_DAC_SCLK(4)</t>
        </is>
      </c>
    </row>
    <row r="203" ht="30" customHeight="1">
      <c r="A203" s="3" t="inlineStr">
        <is>
          <t>K4</t>
        </is>
      </c>
      <c r="B203" s="3" t="inlineStr">
        <is>
          <t>DAC03_OUT</t>
        </is>
      </c>
      <c r="C203" s="3">
        <f>IF(ISNUMBER(SEARCH("CLK",B203)),"CLK","")</f>
        <v/>
      </c>
      <c r="D203" s="3" t="n"/>
      <c r="E203" s="3" t="inlineStr">
        <is>
          <t>DAC03_OUT</t>
        </is>
      </c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>
      <c r="A204" s="3" t="inlineStr">
        <is>
          <t>K5</t>
        </is>
      </c>
      <c r="B204" s="3" t="inlineStr">
        <is>
          <t>GND</t>
        </is>
      </c>
      <c r="C204" s="3">
        <f>IF(ISNUMBER(SEARCH("CLK",B204)),"CLK","")</f>
        <v/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 ht="45" customHeight="1">
      <c r="A205" s="3" t="inlineStr">
        <is>
          <t>K6</t>
        </is>
      </c>
      <c r="B205" s="3" t="inlineStr">
        <is>
          <t>IOB00_USER6</t>
        </is>
      </c>
      <c r="C205" s="3">
        <f>IF(ISNUMBER(SEARCH("CLK",B205)),"CLK","")</f>
        <v/>
      </c>
      <c r="D205" s="3" t="n"/>
      <c r="E205" s="3" t="n"/>
      <c r="F205" s="3" t="n"/>
      <c r="G205" s="3" t="n"/>
      <c r="H205" s="3" t="n"/>
      <c r="I205" s="3" t="inlineStr">
        <is>
          <t>SPI1_VCC[1]</t>
        </is>
      </c>
      <c r="J205" s="3" t="n"/>
      <c r="K205" s="3" t="inlineStr">
        <is>
          <t>DOUT</t>
        </is>
      </c>
      <c r="L205" s="3" t="n"/>
      <c r="M205" s="3" t="inlineStr">
        <is>
          <t>TEST_MODE_MODULE</t>
        </is>
      </c>
    </row>
    <row r="206">
      <c r="A206" s="3" t="inlineStr">
        <is>
          <t>K7</t>
        </is>
      </c>
      <c r="B206" s="3" t="inlineStr">
        <is>
          <t>IOB00_USER1</t>
        </is>
      </c>
      <c r="C206" s="3">
        <f>IF(ISNUMBER(SEARCH("CLK",B206)),"CLK","")</f>
        <v/>
      </c>
      <c r="D206" s="3" t="n"/>
      <c r="E206" s="3" t="n"/>
      <c r="F206" s="3" t="n"/>
      <c r="G206" s="3" t="n"/>
      <c r="H206" s="3" t="n"/>
      <c r="I206" s="3" t="inlineStr">
        <is>
          <t>SPI1_IO[2]</t>
        </is>
      </c>
      <c r="J206" s="3" t="n"/>
      <c r="K206" s="3" t="n"/>
      <c r="L206" s="3" t="n"/>
      <c r="M206" s="3" t="n"/>
    </row>
    <row r="207">
      <c r="A207" s="3" t="inlineStr">
        <is>
          <t>K8</t>
        </is>
      </c>
      <c r="B207" s="3" t="inlineStr">
        <is>
          <t>IOB00_ID0</t>
        </is>
      </c>
      <c r="C207" s="3">
        <f>IF(ISNUMBER(SEARCH("CLK",B207)),"CLK","")</f>
        <v/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>
      <c r="A208" s="3" t="inlineStr">
        <is>
          <t>K9</t>
        </is>
      </c>
      <c r="B208" s="3" t="inlineStr">
        <is>
          <t>GND</t>
        </is>
      </c>
      <c r="C208" s="3">
        <f>IF(ISNUMBER(SEARCH("CLK",B208)),"CLK","")</f>
        <v/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>
      <c r="A209" s="3" t="inlineStr">
        <is>
          <t>K10</t>
        </is>
      </c>
      <c r="B209" s="3" t="inlineStr">
        <is>
          <t>VDDCORE</t>
        </is>
      </c>
      <c r="C209" s="3">
        <f>IF(ISNUMBER(SEARCH("CLK",B209)),"CLK","")</f>
        <v/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>
      <c r="A210" s="3" t="inlineStr">
        <is>
          <t>K11</t>
        </is>
      </c>
      <c r="B210" s="3" t="inlineStr">
        <is>
          <t>GND</t>
        </is>
      </c>
      <c r="C210" s="3">
        <f>IF(ISNUMBER(SEARCH("CLK",B210)),"CLK","")</f>
        <v/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>
      <c r="A211" s="3" t="inlineStr">
        <is>
          <t>K12</t>
        </is>
      </c>
      <c r="B211" s="3" t="inlineStr">
        <is>
          <t>VDDCORE</t>
        </is>
      </c>
      <c r="C211" s="3">
        <f>IF(ISNUMBER(SEARCH("CLK",B211)),"CLK","")</f>
        <v/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>
      <c r="A212" s="3" t="inlineStr">
        <is>
          <t>K13</t>
        </is>
      </c>
      <c r="B212" s="3" t="inlineStr">
        <is>
          <t>GND</t>
        </is>
      </c>
      <c r="C212" s="3">
        <f>IF(ISNUMBER(SEARCH("CLK",B212)),"CLK","")</f>
        <v/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>
      <c r="A213" s="3" t="inlineStr">
        <is>
          <t>K14</t>
        </is>
      </c>
      <c r="B213" s="3" t="inlineStr">
        <is>
          <t>VDDCORE</t>
        </is>
      </c>
      <c r="C213" s="3">
        <f>IF(ISNUMBER(SEARCH("CLK",B213)),"CLK","")</f>
        <v/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>
      <c r="A214" s="3" t="inlineStr">
        <is>
          <t>K15</t>
        </is>
      </c>
      <c r="B214" s="3" t="inlineStr">
        <is>
          <t>GND</t>
        </is>
      </c>
      <c r="C214" s="3">
        <f>IF(ISNUMBER(SEARCH("CLK",B214)),"CLK","")</f>
        <v/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>
      <c r="A215" s="3" t="inlineStr">
        <is>
          <t>K16</t>
        </is>
      </c>
      <c r="B215" s="3" t="inlineStr">
        <is>
          <t>IOB16_D14P_SWSO</t>
        </is>
      </c>
      <c r="C215" s="3">
        <f>IF(ISNUMBER(SEARCH("CLK",B215)),"CLK","")</f>
        <v/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>
      <c r="A216" s="3" t="inlineStr">
        <is>
          <t>K17</t>
        </is>
      </c>
      <c r="B216" s="3" t="inlineStr">
        <is>
          <t>IOB16_D03N_SWSI</t>
        </is>
      </c>
      <c r="C216" s="3">
        <f>IF(ISNUMBER(SEARCH("CLK",B216)),"CLK","")</f>
        <v/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>
      <c r="A217" s="3" t="inlineStr">
        <is>
          <t>K18</t>
        </is>
      </c>
      <c r="B217" s="3" t="inlineStr">
        <is>
          <t>IOB17_D16N_SWSI</t>
        </is>
      </c>
      <c r="C217" s="3">
        <f>IF(ISNUMBER(SEARCH("CLK",B217)),"CLK","")</f>
        <v/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>
      <c r="A218" s="3" t="inlineStr">
        <is>
          <t>K19</t>
        </is>
      </c>
      <c r="B218" s="3" t="inlineStr">
        <is>
          <t>IOB17_D16P_SWSI</t>
        </is>
      </c>
      <c r="C218" s="3">
        <f>IF(ISNUMBER(SEARCH("CLK",B218)),"CLK","")</f>
        <v/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>
      <c r="A219" s="3" t="inlineStr">
        <is>
          <t>K20</t>
        </is>
      </c>
      <c r="B219" s="3" t="inlineStr">
        <is>
          <t>IOB17_D15P_SWDI</t>
        </is>
      </c>
      <c r="C219" s="3">
        <f>IF(ISNUMBER(SEARCH("CLK",B219)),"CLK","")</f>
        <v/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>
      <c r="A220" s="3" t="inlineStr">
        <is>
          <t>K21</t>
        </is>
      </c>
      <c r="B220" s="3" t="inlineStr">
        <is>
          <t>IOB17_D02N_SWDI</t>
        </is>
      </c>
      <c r="C220" s="3">
        <f>IF(ISNUMBER(SEARCH("CLK",B220)),"CLK","")</f>
        <v/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>
      <c r="A221" s="3" t="inlineStr">
        <is>
          <t>K22</t>
        </is>
      </c>
      <c r="B221" s="3" t="inlineStr">
        <is>
          <t>GND</t>
        </is>
      </c>
      <c r="C221" s="3">
        <f>IF(ISNUMBER(SEARCH("CLK",B221)),"CLK","")</f>
        <v/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 ht="30" customHeight="1">
      <c r="A222" s="3" t="inlineStr">
        <is>
          <t>L1</t>
        </is>
      </c>
      <c r="B222" s="3" t="inlineStr">
        <is>
          <t>IOB13_D00</t>
        </is>
      </c>
      <c r="C222" s="3">
        <f>IF(ISNUMBER(SEARCH("CLK",B222)),"CLK","")</f>
        <v/>
      </c>
      <c r="D222" s="3" t="n"/>
      <c r="E222" s="3" t="inlineStr">
        <is>
          <t xml:space="preserve">DAC00_COMPIN2               </t>
        </is>
      </c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 ht="30" customHeight="1">
      <c r="A223" s="3" t="inlineStr">
        <is>
          <t>L2</t>
        </is>
      </c>
      <c r="B223" s="3" t="inlineStr">
        <is>
          <t>IOB13_D07</t>
        </is>
      </c>
      <c r="C223" s="3">
        <f>IF(ISNUMBER(SEARCH("CLK",B223)),"CLK","")</f>
        <v/>
      </c>
      <c r="D223" s="3" t="n"/>
      <c r="E223" s="3" t="inlineStr">
        <is>
          <t xml:space="preserve">DAC02_COMPIN3               </t>
        </is>
      </c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 ht="30" customHeight="1">
      <c r="A224" s="3" t="inlineStr">
        <is>
          <t>L3</t>
        </is>
      </c>
      <c r="B224" s="3" t="inlineStr">
        <is>
          <t>IOB13_D11</t>
        </is>
      </c>
      <c r="C224" s="3">
        <f>IF(ISNUMBER(SEARCH("CLK",B224)),"CLK","")</f>
        <v/>
      </c>
      <c r="D224" s="3" t="n"/>
      <c r="E224" s="3" t="inlineStr">
        <is>
          <t xml:space="preserve">DAC02_COMPIN1               </t>
        </is>
      </c>
      <c r="F224" s="3" t="n"/>
      <c r="G224" s="3" t="n"/>
      <c r="H224" s="3" t="n"/>
      <c r="I224" s="3" t="n"/>
      <c r="J224" s="3" t="n"/>
      <c r="K224" s="3" t="n"/>
      <c r="L224" s="3" t="n"/>
      <c r="M224" s="3" t="n"/>
      <c r="N224" t="inlineStr">
        <is>
          <t>o_DAC_SYNC_n(4)</t>
        </is>
      </c>
    </row>
    <row r="225" ht="30" customHeight="1">
      <c r="A225" s="3" t="inlineStr">
        <is>
          <t>L4</t>
        </is>
      </c>
      <c r="B225" s="3" t="inlineStr">
        <is>
          <t>IOB13_D13</t>
        </is>
      </c>
      <c r="C225" s="3">
        <f>IF(ISNUMBER(SEARCH("CLK",B225)),"CLK","")</f>
        <v/>
      </c>
      <c r="D225" s="3" t="n"/>
      <c r="E225" s="3" t="inlineStr">
        <is>
          <t xml:space="preserve">DAC03_COMPIN2               </t>
        </is>
      </c>
      <c r="F225" s="3" t="n"/>
      <c r="G225" s="3" t="n"/>
      <c r="H225" s="3" t="n"/>
      <c r="I225" s="3" t="n"/>
      <c r="J225" s="3" t="n"/>
      <c r="K225" s="3" t="n"/>
      <c r="L225" s="3" t="n"/>
      <c r="M225" s="3" t="n"/>
      <c r="N225" t="inlineStr">
        <is>
          <t>o_DAC_DIN(4)</t>
        </is>
      </c>
    </row>
    <row r="226" ht="30" customHeight="1">
      <c r="A226" s="3" t="inlineStr">
        <is>
          <t>L5</t>
        </is>
      </c>
      <c r="B226" s="3" t="inlineStr">
        <is>
          <t>ADC_VDD1V8A</t>
        </is>
      </c>
      <c r="C226" s="3">
        <f>IF(ISNUMBER(SEARCH("CLK",B226)),"CLK","")</f>
        <v/>
      </c>
      <c r="D226" s="3" t="inlineStr">
        <is>
          <t>ADC_VDD1V8A</t>
        </is>
      </c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 ht="30" customHeight="1">
      <c r="A227" s="3" t="inlineStr">
        <is>
          <t>L6</t>
        </is>
      </c>
      <c r="B227" s="3" t="inlineStr">
        <is>
          <t>IOB00_USER5</t>
        </is>
      </c>
      <c r="C227" s="3">
        <f>IF(ISNUMBER(SEARCH("CLK",B227)),"CLK","")</f>
        <v/>
      </c>
      <c r="D227" s="3" t="n"/>
      <c r="E227" s="3" t="n"/>
      <c r="F227" s="3" t="n"/>
      <c r="G227" s="3" t="n"/>
      <c r="H227" s="3" t="n"/>
      <c r="I227" s="3" t="inlineStr">
        <is>
          <t>SPI1_VCC[0]</t>
        </is>
      </c>
      <c r="J227" s="3" t="n"/>
      <c r="K227" s="3" t="inlineStr">
        <is>
          <t>SIN</t>
        </is>
      </c>
      <c r="L227" s="3" t="n"/>
      <c r="M227" s="3" t="inlineStr">
        <is>
          <t xml:space="preserve">SPWS_CLK </t>
        </is>
      </c>
    </row>
    <row r="228">
      <c r="A228" s="3" t="inlineStr">
        <is>
          <t>L7</t>
        </is>
      </c>
      <c r="B228" s="3" t="inlineStr">
        <is>
          <t>IOB00_USER2</t>
        </is>
      </c>
      <c r="C228" s="3">
        <f>IF(ISNUMBER(SEARCH("CLK",B228)),"CLK","")</f>
        <v/>
      </c>
      <c r="D228" s="3" t="n"/>
      <c r="E228" s="3" t="n"/>
      <c r="F228" s="3" t="n"/>
      <c r="G228" s="3" t="n"/>
      <c r="H228" s="3" t="n"/>
      <c r="I228" s="3" t="inlineStr">
        <is>
          <t>SPI1_IO[3]</t>
        </is>
      </c>
      <c r="J228" s="3" t="n"/>
      <c r="K228" s="3" t="n"/>
      <c r="L228" s="3" t="n"/>
      <c r="M228" s="3" t="n"/>
    </row>
    <row r="229">
      <c r="A229" s="3" t="inlineStr">
        <is>
          <t>L8</t>
        </is>
      </c>
      <c r="B229" s="3" t="inlineStr">
        <is>
          <t>IOB00_ID1</t>
        </is>
      </c>
      <c r="C229" s="3">
        <f>IF(ISNUMBER(SEARCH("CLK",B229)),"CLK","")</f>
        <v/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>
      <c r="A230" s="3" t="inlineStr">
        <is>
          <t>L9</t>
        </is>
      </c>
      <c r="B230" s="3" t="inlineStr">
        <is>
          <t>VDDCORE</t>
        </is>
      </c>
      <c r="C230" s="3">
        <f>IF(ISNUMBER(SEARCH("CLK",B230)),"CLK","")</f>
        <v/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>
      <c r="A231" s="3" t="inlineStr">
        <is>
          <t>L10</t>
        </is>
      </c>
      <c r="B231" s="3" t="inlineStr">
        <is>
          <t>GND</t>
        </is>
      </c>
      <c r="C231" s="3">
        <f>IF(ISNUMBER(SEARCH("CLK",B231)),"CLK","")</f>
        <v/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>
      <c r="A232" s="3" t="inlineStr">
        <is>
          <t>L11</t>
        </is>
      </c>
      <c r="B232" s="3" t="inlineStr">
        <is>
          <t>VDDCORE</t>
        </is>
      </c>
      <c r="C232" s="3">
        <f>IF(ISNUMBER(SEARCH("CLK",B232)),"CLK","")</f>
        <v/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>
      <c r="A233" s="3" t="inlineStr">
        <is>
          <t>L12</t>
        </is>
      </c>
      <c r="B233" s="3" t="inlineStr">
        <is>
          <t>GND</t>
        </is>
      </c>
      <c r="C233" s="3">
        <f>IF(ISNUMBER(SEARCH("CLK",B233)),"CLK","")</f>
        <v/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>
      <c r="A234" s="3" t="inlineStr">
        <is>
          <t>L13</t>
        </is>
      </c>
      <c r="B234" s="3" t="inlineStr">
        <is>
          <t>VDDCORE</t>
        </is>
      </c>
      <c r="C234" s="3">
        <f>IF(ISNUMBER(SEARCH("CLK",B234)),"CLK","")</f>
        <v/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>
      <c r="A235" s="3" t="inlineStr">
        <is>
          <t>L14</t>
        </is>
      </c>
      <c r="B235" s="3" t="inlineStr">
        <is>
          <t>GND</t>
        </is>
      </c>
      <c r="C235" s="3">
        <f>IF(ISNUMBER(SEARCH("CLK",B235)),"CLK","")</f>
        <v/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>
      <c r="A236" s="3" t="inlineStr">
        <is>
          <t>L15</t>
        </is>
      </c>
      <c r="B236" s="3" t="inlineStr">
        <is>
          <t>VDDCORE</t>
        </is>
      </c>
      <c r="C236" s="3">
        <f>IF(ISNUMBER(SEARCH("CLK",B236)),"CLK","")</f>
        <v/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>
      <c r="A237" s="3" t="inlineStr">
        <is>
          <t>L16</t>
        </is>
      </c>
      <c r="B237" s="3" t="inlineStr">
        <is>
          <t>IOB16_D14N_SWSO</t>
        </is>
      </c>
      <c r="C237" s="3">
        <f>IF(ISNUMBER(SEARCH("CLK",B237)),"CLK","")</f>
        <v/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>
      <c r="A238" s="3" t="inlineStr">
        <is>
          <t>L17</t>
        </is>
      </c>
      <c r="B238" s="3" t="inlineStr">
        <is>
          <t>IOB16_D03P_SWSI</t>
        </is>
      </c>
      <c r="C238" s="3">
        <f>IF(ISNUMBER(SEARCH("CLK",B238)),"CLK","")</f>
        <v/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>
      <c r="A239" s="3" t="inlineStr">
        <is>
          <t>L18</t>
        </is>
      </c>
      <c r="B239" s="3" t="inlineStr">
        <is>
          <t>GND</t>
        </is>
      </c>
      <c r="C239" s="3">
        <f>IF(ISNUMBER(SEARCH("CLK",B239)),"CLK","")</f>
        <v/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>
      <c r="A240" s="3" t="inlineStr">
        <is>
          <t>L19</t>
        </is>
      </c>
      <c r="B240" s="3" t="inlineStr">
        <is>
          <t>IOB17_VTO</t>
        </is>
      </c>
      <c r="C240" s="3">
        <f>IF(ISNUMBER(SEARCH("CLK",B240)),"CLK","")</f>
        <v/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>
      <c r="A241" s="3" t="inlineStr">
        <is>
          <t>L20</t>
        </is>
      </c>
      <c r="B241" s="3" t="inlineStr">
        <is>
          <t>IOB17_VTO</t>
        </is>
      </c>
      <c r="C241" s="3">
        <f>IF(ISNUMBER(SEARCH("CLK",B241)),"CLK","")</f>
        <v/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>
      <c r="A242" s="3" t="inlineStr">
        <is>
          <t>L21</t>
        </is>
      </c>
      <c r="B242" s="3" t="inlineStr">
        <is>
          <t>IOB08_D09</t>
        </is>
      </c>
      <c r="C242" s="3">
        <f>IF(ISNUMBER(SEARCH("CLK",B242)),"CLK","")</f>
        <v/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>
      <c r="A243" s="3" t="inlineStr">
        <is>
          <t>L22</t>
        </is>
      </c>
      <c r="B243" s="3" t="inlineStr">
        <is>
          <t>IOB08_D00</t>
        </is>
      </c>
      <c r="C243" s="3">
        <f>IF(ISNUMBER(SEARCH("CLK",B243)),"CLK","")</f>
        <v/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 ht="30" customHeight="1">
      <c r="A244" s="3" t="inlineStr">
        <is>
          <t>M1</t>
        </is>
      </c>
      <c r="B244" s="3" t="inlineStr">
        <is>
          <t>IOB13_D01</t>
        </is>
      </c>
      <c r="C244" s="3">
        <f>IF(ISNUMBER(SEARCH("CLK",B244)),"CLK","")</f>
        <v/>
      </c>
      <c r="D244" s="3" t="n"/>
      <c r="E244" s="3" t="inlineStr">
        <is>
          <t xml:space="preserve">DAC00_COMPIN3               </t>
        </is>
      </c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 ht="30" customHeight="1">
      <c r="A245" s="3" t="inlineStr">
        <is>
          <t>M2</t>
        </is>
      </c>
      <c r="B245" s="3" t="inlineStr">
        <is>
          <t>IOB13_D08</t>
        </is>
      </c>
      <c r="C245" s="3">
        <f>IF(ISNUMBER(SEARCH("CLK",B245)),"CLK","")</f>
        <v/>
      </c>
      <c r="D245" s="3" t="n"/>
      <c r="E245" s="3" t="inlineStr">
        <is>
          <t xml:space="preserve">DAC02_COMPIN2               </t>
        </is>
      </c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 ht="30" customHeight="1">
      <c r="A246" s="3" t="inlineStr">
        <is>
          <t>M3</t>
        </is>
      </c>
      <c r="B246" s="3" t="inlineStr">
        <is>
          <t>IOB13_D03</t>
        </is>
      </c>
      <c r="C246" s="3">
        <f>IF(ISNUMBER(SEARCH("CLK",B246)),"CLK","")</f>
        <v/>
      </c>
      <c r="D246" s="3" t="n"/>
      <c r="E246" s="3" t="inlineStr">
        <is>
          <t xml:space="preserve">DAC00_COMPIN0               </t>
        </is>
      </c>
      <c r="F246" s="3" t="n"/>
      <c r="G246" s="3" t="n"/>
      <c r="H246" s="3" t="n"/>
      <c r="I246" s="3" t="n"/>
      <c r="J246" s="3" t="n"/>
      <c r="K246" s="3" t="n"/>
      <c r="L246" s="3" t="n"/>
      <c r="M246" s="3" t="n"/>
      <c r="N246" t="inlineStr">
        <is>
          <t>o_DAC_on_off(4)</t>
        </is>
      </c>
    </row>
    <row r="247" ht="30" customHeight="1">
      <c r="A247" s="3" t="inlineStr">
        <is>
          <t>M4</t>
        </is>
      </c>
      <c r="B247" s="3" t="inlineStr">
        <is>
          <t>IOB13_D14</t>
        </is>
      </c>
      <c r="C247" s="3">
        <f>IF(ISNUMBER(SEARCH("CLK",B247)),"CLK","")</f>
        <v/>
      </c>
      <c r="D247" s="3" t="n"/>
      <c r="E247" s="3" t="inlineStr">
        <is>
          <t xml:space="preserve">DAC03_COMPIN0               </t>
        </is>
      </c>
      <c r="F247" s="3" t="n"/>
      <c r="G247" s="3" t="n"/>
      <c r="H247" s="3" t="n"/>
      <c r="I247" s="3" t="n"/>
      <c r="J247" s="3" t="n"/>
      <c r="K247" s="3" t="n"/>
      <c r="L247" s="3" t="n"/>
      <c r="M247" s="3" t="n"/>
      <c r="N247" t="inlineStr">
        <is>
          <t>o_DAC_on_off(5)</t>
        </is>
      </c>
    </row>
    <row r="248">
      <c r="A248" s="3" t="inlineStr">
        <is>
          <t>M5</t>
        </is>
      </c>
      <c r="B248" s="3" t="inlineStr">
        <is>
          <t>GND</t>
        </is>
      </c>
      <c r="C248" s="3">
        <f>IF(ISNUMBER(SEARCH("CLK",B248)),"CLK","")</f>
        <v/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 ht="75" customHeight="1">
      <c r="A249" s="3" t="inlineStr">
        <is>
          <t>M6</t>
        </is>
      </c>
      <c r="B249" s="3" t="inlineStr">
        <is>
          <t>IOB00_USER4</t>
        </is>
      </c>
      <c r="C249" s="3">
        <f>IF(ISNUMBER(SEARCH("CLK",B249)),"CLK","")</f>
        <v/>
      </c>
      <c r="D249" s="3" t="n"/>
      <c r="E249" s="3" t="n"/>
      <c r="F249" s="3" t="n"/>
      <c r="G249" s="3" t="n"/>
      <c r="H249" s="3" t="n"/>
      <c r="I249" s="3" t="inlineStr">
        <is>
          <t>SPI1_RESET_N</t>
        </is>
      </c>
      <c r="J249" s="3" t="n"/>
      <c r="K249" s="3" t="inlineStr">
        <is>
          <t>DIN</t>
        </is>
      </c>
      <c r="L249" s="3" t="n"/>
      <c r="M249" s="3" t="inlineStr">
        <is>
          <t>0 (tied to enable SIN to be the clock)</t>
        </is>
      </c>
    </row>
    <row r="250">
      <c r="A250" s="3" t="inlineStr">
        <is>
          <t>M7</t>
        </is>
      </c>
      <c r="B250" s="3" t="inlineStr">
        <is>
          <t>IOB00_USER3</t>
        </is>
      </c>
      <c r="C250" s="3">
        <f>IF(ISNUMBER(SEARCH("CLK",B250)),"CLK","")</f>
        <v/>
      </c>
      <c r="D250" s="3" t="n"/>
      <c r="E250" s="3" t="n"/>
      <c r="F250" s="3" t="n"/>
      <c r="G250" s="3" t="n"/>
      <c r="H250" s="3" t="n"/>
      <c r="I250" s="3" t="inlineStr">
        <is>
          <t>SPI1_CS_N</t>
        </is>
      </c>
      <c r="J250" s="3" t="n"/>
      <c r="K250" s="3" t="n"/>
      <c r="L250" s="3" t="n"/>
      <c r="M250" s="3" t="inlineStr">
        <is>
          <t>SPWS_SI</t>
        </is>
      </c>
    </row>
    <row r="251">
      <c r="A251" s="3" t="inlineStr">
        <is>
          <t>M8</t>
        </is>
      </c>
      <c r="B251" s="3" t="inlineStr">
        <is>
          <t>IOB00_D7</t>
        </is>
      </c>
      <c r="C251" s="3">
        <f>IF(ISNUMBER(SEARCH("CLK",B251)),"CLK","")</f>
        <v/>
      </c>
      <c r="D251" s="3" t="n"/>
      <c r="E251" s="3" t="n"/>
      <c r="F251" s="3" t="n"/>
      <c r="G251" s="3" t="n"/>
      <c r="H251" s="3" t="n"/>
      <c r="I251" s="3" t="inlineStr">
        <is>
          <t>SPI0_VCC[0]</t>
        </is>
      </c>
      <c r="J251" s="3" t="inlineStr">
        <is>
          <t>D7</t>
        </is>
      </c>
      <c r="K251" s="3" t="n"/>
      <c r="L251" s="3" t="n"/>
      <c r="M251" s="3" t="inlineStr">
        <is>
          <t>SO[3]</t>
        </is>
      </c>
    </row>
    <row r="252">
      <c r="A252" s="3" t="inlineStr">
        <is>
          <t>M9</t>
        </is>
      </c>
      <c r="B252" s="3" t="inlineStr">
        <is>
          <t>GND</t>
        </is>
      </c>
      <c r="C252" s="3">
        <f>IF(ISNUMBER(SEARCH("CLK",B252)),"CLK","")</f>
        <v/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>
      <c r="A253" s="3" t="inlineStr">
        <is>
          <t>M10</t>
        </is>
      </c>
      <c r="B253" s="3" t="inlineStr">
        <is>
          <t>VDDCORE</t>
        </is>
      </c>
      <c r="C253" s="3">
        <f>IF(ISNUMBER(SEARCH("CLK",B253)),"CLK","")</f>
        <v/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>
      <c r="A254" s="3" t="inlineStr">
        <is>
          <t>M11</t>
        </is>
      </c>
      <c r="B254" s="3" t="inlineStr">
        <is>
          <t>GND</t>
        </is>
      </c>
      <c r="C254" s="3">
        <f>IF(ISNUMBER(SEARCH("CLK",B254)),"CLK","")</f>
        <v/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>
      <c r="A255" s="3" t="inlineStr">
        <is>
          <t>M12</t>
        </is>
      </c>
      <c r="B255" s="3" t="inlineStr">
        <is>
          <t>SENSE</t>
        </is>
      </c>
      <c r="C255" s="3">
        <f>IF(ISNUMBER(SEARCH("CLK",B255)),"CLK","")</f>
        <v/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>
      <c r="A256" s="3" t="inlineStr">
        <is>
          <t>M13</t>
        </is>
      </c>
      <c r="B256" s="3" t="inlineStr">
        <is>
          <t>GND</t>
        </is>
      </c>
      <c r="C256" s="3">
        <f>IF(ISNUMBER(SEARCH("CLK",B256)),"CLK","")</f>
        <v/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>
      <c r="A257" s="3" t="inlineStr">
        <is>
          <t>M14</t>
        </is>
      </c>
      <c r="B257" s="3" t="inlineStr">
        <is>
          <t>VDDCORE</t>
        </is>
      </c>
      <c r="C257" s="3">
        <f>IF(ISNUMBER(SEARCH("CLK",B257)),"CLK","")</f>
        <v/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>
      <c r="A258" s="3" t="inlineStr">
        <is>
          <t>M15</t>
        </is>
      </c>
      <c r="B258" s="3" t="inlineStr">
        <is>
          <t>GND</t>
        </is>
      </c>
      <c r="C258" s="3">
        <f>IF(ISNUMBER(SEARCH("CLK",B258)),"CLK","")</f>
        <v/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>
      <c r="A259" s="3" t="inlineStr">
        <is>
          <t>M16</t>
        </is>
      </c>
      <c r="B259" s="3" t="inlineStr">
        <is>
          <t>GND</t>
        </is>
      </c>
      <c r="C259" s="3">
        <f>IF(ISNUMBER(SEARCH("CLK",B259)),"CLK","")</f>
        <v/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>
      <c r="A260" s="3" t="inlineStr">
        <is>
          <t>M17</t>
        </is>
      </c>
      <c r="B260" s="3" t="inlineStr">
        <is>
          <t>IOB16_VTO</t>
        </is>
      </c>
      <c r="C260" s="3">
        <f>IF(ISNUMBER(SEARCH("CLK",B260)),"CLK","")</f>
        <v/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>
      <c r="A261" s="3" t="inlineStr">
        <is>
          <t>M18</t>
        </is>
      </c>
      <c r="B261" s="3" t="inlineStr">
        <is>
          <t>IOB04_VTO</t>
        </is>
      </c>
      <c r="C261" s="3">
        <f>IF(ISNUMBER(SEARCH("CLK",B261)),"CLK","")</f>
        <v/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>
      <c r="A262" s="3" t="inlineStr">
        <is>
          <t>M19</t>
        </is>
      </c>
      <c r="B262" s="3" t="inlineStr">
        <is>
          <t>IOB17_VDDS</t>
        </is>
      </c>
      <c r="C262" s="3">
        <f>IF(ISNUMBER(SEARCH("CLK",B262)),"CLK","")</f>
        <v/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>
      <c r="A263" s="3" t="inlineStr">
        <is>
          <t>M20</t>
        </is>
      </c>
      <c r="B263" s="3" t="inlineStr">
        <is>
          <t>GND</t>
        </is>
      </c>
      <c r="C263" s="3">
        <f>IF(ISNUMBER(SEARCH("CLK",B263)),"CLK","")</f>
        <v/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>
      <c r="A264" s="3" t="inlineStr">
        <is>
          <t>M21</t>
        </is>
      </c>
      <c r="B264" s="3" t="inlineStr">
        <is>
          <t>IOB08_D08</t>
        </is>
      </c>
      <c r="C264" s="3">
        <f>IF(ISNUMBER(SEARCH("CLK",B264)),"CLK","")</f>
        <v/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>
      <c r="A265" s="3" t="inlineStr">
        <is>
          <t>M22</t>
        </is>
      </c>
      <c r="B265" s="3" t="inlineStr">
        <is>
          <t>IOB08_D01</t>
        </is>
      </c>
      <c r="C265" s="3">
        <f>IF(ISNUMBER(SEARCH("CLK",B265)),"CLK","")</f>
        <v/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 ht="30" customHeight="1">
      <c r="A266" s="3" t="inlineStr">
        <is>
          <t>N1</t>
        </is>
      </c>
      <c r="B266" s="3" t="inlineStr">
        <is>
          <t>IOB13_D02</t>
        </is>
      </c>
      <c r="C266" s="3">
        <f>IF(ISNUMBER(SEARCH("CLK",B266)),"CLK","")</f>
        <v/>
      </c>
      <c r="D266" s="3" t="n"/>
      <c r="E266" s="3" t="inlineStr">
        <is>
          <t xml:space="preserve">DAC00_COMPIN1               </t>
        </is>
      </c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>
      <c r="A267" s="3" t="inlineStr">
        <is>
          <t>N2</t>
        </is>
      </c>
      <c r="B267" s="3" t="inlineStr">
        <is>
          <t>GND</t>
        </is>
      </c>
      <c r="C267" s="3">
        <f>IF(ISNUMBER(SEARCH("CLK",B267)),"CLK","")</f>
        <v/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 ht="30" customHeight="1">
      <c r="A268" s="3" t="inlineStr">
        <is>
          <t>N3</t>
        </is>
      </c>
      <c r="B268" s="3" t="inlineStr">
        <is>
          <t>IOB13_D09</t>
        </is>
      </c>
      <c r="C268" s="3">
        <f>IF(ISNUMBER(SEARCH("CLK",B268)),"CLK","")</f>
        <v/>
      </c>
      <c r="D268" s="3" t="n"/>
      <c r="E268" s="3" t="inlineStr">
        <is>
          <t xml:space="preserve">DAC01_COMPIN2               </t>
        </is>
      </c>
      <c r="F268" s="3" t="n"/>
      <c r="G268" s="3" t="n"/>
      <c r="H268" s="3" t="n"/>
      <c r="I268" s="3" t="n"/>
      <c r="J268" s="3" t="n"/>
      <c r="K268" s="3" t="n"/>
      <c r="L268" s="3" t="n"/>
      <c r="M268" s="3" t="n"/>
      <c r="N268" t="inlineStr">
        <is>
          <t>o_DAC_SCLK(6)</t>
        </is>
      </c>
    </row>
    <row r="269" ht="30" customHeight="1">
      <c r="A269" s="3" t="inlineStr">
        <is>
          <t>N4</t>
        </is>
      </c>
      <c r="B269" s="3" t="inlineStr">
        <is>
          <t>IOB13_D15</t>
        </is>
      </c>
      <c r="C269" s="3">
        <f>IF(ISNUMBER(SEARCH("CLK",B269)),"CLK","")</f>
        <v/>
      </c>
      <c r="D269" s="3" t="n"/>
      <c r="E269" s="3" t="inlineStr">
        <is>
          <t xml:space="preserve">DAC03_COMPIN1               </t>
        </is>
      </c>
      <c r="F269" s="3" t="n"/>
      <c r="G269" s="3" t="n"/>
      <c r="H269" s="3" t="n"/>
      <c r="I269" s="3" t="n"/>
      <c r="J269" s="3" t="n"/>
      <c r="K269" s="3" t="n"/>
      <c r="L269" s="3" t="n"/>
      <c r="M269" s="3" t="n"/>
      <c r="N269" t="inlineStr">
        <is>
          <t>o_DAC_SYNC_n(6)</t>
        </is>
      </c>
    </row>
    <row r="270" ht="30" customHeight="1">
      <c r="A270" s="3" t="inlineStr">
        <is>
          <t>N5</t>
        </is>
      </c>
      <c r="B270" s="3" t="inlineStr">
        <is>
          <t>ADC_VDD1V8A</t>
        </is>
      </c>
      <c r="C270" s="3">
        <f>IF(ISNUMBER(SEARCH("CLK",B270)),"CLK","")</f>
        <v/>
      </c>
      <c r="D270" s="3" t="inlineStr">
        <is>
          <t>ADC_VDD1V8A</t>
        </is>
      </c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>
      <c r="A271" s="3" t="inlineStr">
        <is>
          <t>N6</t>
        </is>
      </c>
      <c r="B271" s="3" t="inlineStr">
        <is>
          <t>IOB00_D15</t>
        </is>
      </c>
      <c r="C271" s="3">
        <f>IF(ISNUMBER(SEARCH("CLK",B271)),"CLK","")</f>
        <v/>
      </c>
      <c r="D271" s="3" t="n"/>
      <c r="E271" s="3" t="n"/>
      <c r="F271" s="3" t="n"/>
      <c r="G271" s="3" t="inlineStr">
        <is>
          <t>CS_N</t>
        </is>
      </c>
      <c r="H271" s="3" t="inlineStr">
        <is>
          <t>CS_N</t>
        </is>
      </c>
      <c r="I271" s="3" t="inlineStr">
        <is>
          <t>SPI2_CS_N</t>
        </is>
      </c>
      <c r="J271" s="3" t="inlineStr">
        <is>
          <t>D15</t>
        </is>
      </c>
      <c r="K271" s="3" t="n"/>
      <c r="L271" s="3" t="n"/>
      <c r="M271" s="3" t="inlineStr">
        <is>
          <t>SO[7]</t>
        </is>
      </c>
    </row>
    <row r="272">
      <c r="A272" s="3" t="inlineStr">
        <is>
          <t>N7</t>
        </is>
      </c>
      <c r="B272" s="3" t="inlineStr">
        <is>
          <t>IOB00_D8</t>
        </is>
      </c>
      <c r="C272" s="3">
        <f>IF(ISNUMBER(SEARCH("CLK",B272)),"CLK","")</f>
        <v/>
      </c>
      <c r="D272" s="3" t="n"/>
      <c r="E272" s="3" t="n"/>
      <c r="F272" s="3" t="n"/>
      <c r="G272" s="3" t="n"/>
      <c r="H272" s="3" t="n"/>
      <c r="I272" s="3" t="inlineStr">
        <is>
          <t>SPI0_VCC[1]</t>
        </is>
      </c>
      <c r="J272" s="3" t="inlineStr">
        <is>
          <t>D8</t>
        </is>
      </c>
      <c r="K272" s="3" t="n"/>
      <c r="L272" s="3" t="n"/>
      <c r="M272" s="3" t="inlineStr">
        <is>
          <t>SI[4]</t>
        </is>
      </c>
    </row>
    <row r="273">
      <c r="A273" s="3" t="inlineStr">
        <is>
          <t>N8</t>
        </is>
      </c>
      <c r="B273" s="3" t="inlineStr">
        <is>
          <t>IOB00_D6</t>
        </is>
      </c>
      <c r="C273" s="3">
        <f>IF(ISNUMBER(SEARCH("CLK",B273)),"CLK","")</f>
        <v/>
      </c>
      <c r="D273" s="3" t="n"/>
      <c r="E273" s="3" t="n"/>
      <c r="F273" s="3" t="n"/>
      <c r="G273" s="3" t="n"/>
      <c r="H273" s="3" t="n"/>
      <c r="I273" s="3" t="inlineStr">
        <is>
          <t>SPI0_RESET_N</t>
        </is>
      </c>
      <c r="J273" s="3" t="inlineStr">
        <is>
          <t>D6</t>
        </is>
      </c>
      <c r="K273" s="3" t="n"/>
      <c r="L273" s="3" t="n"/>
      <c r="M273" s="3" t="inlineStr">
        <is>
          <t>SI[3]</t>
        </is>
      </c>
    </row>
    <row r="274">
      <c r="A274" s="3" t="inlineStr">
        <is>
          <t>N9</t>
        </is>
      </c>
      <c r="B274" s="3" t="inlineStr">
        <is>
          <t>VDDCORE</t>
        </is>
      </c>
      <c r="C274" s="3">
        <f>IF(ISNUMBER(SEARCH("CLK",B274)),"CLK","")</f>
        <v/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>
      <c r="A275" s="3" t="inlineStr">
        <is>
          <t>N10</t>
        </is>
      </c>
      <c r="B275" s="3" t="inlineStr">
        <is>
          <t>GND</t>
        </is>
      </c>
      <c r="C275" s="3">
        <f>IF(ISNUMBER(SEARCH("CLK",B275)),"CLK","")</f>
        <v/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>
      <c r="A276" s="3" t="inlineStr">
        <is>
          <t>N11</t>
        </is>
      </c>
      <c r="B276" s="3" t="inlineStr">
        <is>
          <t>VDDCORE</t>
        </is>
      </c>
      <c r="C276" s="3">
        <f>IF(ISNUMBER(SEARCH("CLK",B276)),"CLK","")</f>
        <v/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>
      <c r="A277" s="3" t="inlineStr">
        <is>
          <t>N12</t>
        </is>
      </c>
      <c r="B277" s="3" t="inlineStr">
        <is>
          <t>GND</t>
        </is>
      </c>
      <c r="C277" s="3">
        <f>IF(ISNUMBER(SEARCH("CLK",B277)),"CLK","")</f>
        <v/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>
      <c r="A278" s="3" t="inlineStr">
        <is>
          <t>N13</t>
        </is>
      </c>
      <c r="B278" s="3" t="inlineStr">
        <is>
          <t>VDDCORE</t>
        </is>
      </c>
      <c r="C278" s="3">
        <f>IF(ISNUMBER(SEARCH("CLK",B278)),"CLK","")</f>
        <v/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>
      <c r="A279" s="3" t="inlineStr">
        <is>
          <t>N14</t>
        </is>
      </c>
      <c r="B279" s="3" t="inlineStr">
        <is>
          <t>GND</t>
        </is>
      </c>
      <c r="C279" s="3">
        <f>IF(ISNUMBER(SEARCH("CLK",B279)),"CLK","")</f>
        <v/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>
      <c r="A280" s="3" t="inlineStr">
        <is>
          <t>N15</t>
        </is>
      </c>
      <c r="B280" s="3" t="inlineStr">
        <is>
          <t>VDDCORE</t>
        </is>
      </c>
      <c r="C280" s="3">
        <f>IF(ISNUMBER(SEARCH("CLK",B280)),"CLK","")</f>
        <v/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>
      <c r="A281" s="3" t="inlineStr">
        <is>
          <t>N16</t>
        </is>
      </c>
      <c r="B281" s="3" t="inlineStr">
        <is>
          <t>IOB16_D15P_SWDI</t>
        </is>
      </c>
      <c r="C281" s="3">
        <f>IF(ISNUMBER(SEARCH("CLK",B281)),"CLK","")</f>
        <v/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>
      <c r="A282" s="3" t="inlineStr">
        <is>
          <t>N17</t>
        </is>
      </c>
      <c r="B282" s="3" t="inlineStr">
        <is>
          <t>IOB16_VTO</t>
        </is>
      </c>
      <c r="C282" s="3">
        <f>IF(ISNUMBER(SEARCH("CLK",B282)),"CLK","")</f>
        <v/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>
      <c r="A283" s="3" t="inlineStr">
        <is>
          <t>N18</t>
        </is>
      </c>
      <c r="B283" s="3" t="inlineStr">
        <is>
          <t>IOB04_VTO</t>
        </is>
      </c>
      <c r="C283" s="3">
        <f>IF(ISNUMBER(SEARCH("CLK",B283)),"CLK","")</f>
        <v/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>
      <c r="A284" s="3" t="inlineStr">
        <is>
          <t>N19</t>
        </is>
      </c>
      <c r="B284" s="3" t="inlineStr">
        <is>
          <t>IOB08_D14</t>
        </is>
      </c>
      <c r="C284" s="3">
        <f>IF(ISNUMBER(SEARCH("CLK",B284)),"CLK","")</f>
        <v/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>
      <c r="A285" s="3" t="inlineStr">
        <is>
          <t>N20</t>
        </is>
      </c>
      <c r="B285" s="3" t="inlineStr">
        <is>
          <t>IOB08_D10</t>
        </is>
      </c>
      <c r="C285" s="3">
        <f>IF(ISNUMBER(SEARCH("CLK",B285)),"CLK","")</f>
        <v/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>
      <c r="A286" s="3" t="inlineStr">
        <is>
          <t>N21</t>
        </is>
      </c>
      <c r="B286" s="3" t="inlineStr">
        <is>
          <t>IOB08_D07</t>
        </is>
      </c>
      <c r="C286" s="3">
        <f>IF(ISNUMBER(SEARCH("CLK",B286)),"CLK","")</f>
        <v/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>
      <c r="A287" s="3" t="inlineStr">
        <is>
          <t>N22</t>
        </is>
      </c>
      <c r="B287" s="3" t="inlineStr">
        <is>
          <t>IOB08_D02</t>
        </is>
      </c>
      <c r="C287" s="3">
        <f>IF(ISNUMBER(SEARCH("CLK",B287)),"CLK","")</f>
        <v/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>
      <c r="A288" s="3" t="inlineStr">
        <is>
          <t>P1</t>
        </is>
      </c>
      <c r="B288" s="3" t="inlineStr">
        <is>
          <t>IOB13_VDDIO</t>
        </is>
      </c>
      <c r="C288" s="3">
        <f>IF(ISNUMBER(SEARCH("CLK",B288)),"CLK","")</f>
        <v/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 ht="30" customHeight="1">
      <c r="A289" s="3" t="inlineStr">
        <is>
          <t>P2</t>
        </is>
      </c>
      <c r="B289" s="3" t="inlineStr">
        <is>
          <t>IOB12_D23</t>
        </is>
      </c>
      <c r="C289" s="3">
        <f>IF(ISNUMBER(SEARCH("CLK",B289)),"CLK","")</f>
        <v/>
      </c>
      <c r="D289" s="3" t="inlineStr">
        <is>
          <t>ADC00_IN7</t>
        </is>
      </c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t="inlineStr">
        <is>
          <t>o_sck(4)</t>
        </is>
      </c>
    </row>
    <row r="290" ht="30" customHeight="1">
      <c r="A290" s="3" t="inlineStr">
        <is>
          <t>P3</t>
        </is>
      </c>
      <c r="B290" s="3" t="inlineStr">
        <is>
          <t>IOB12_D22</t>
        </is>
      </c>
      <c r="C290" s="3">
        <f>IF(ISNUMBER(SEARCH("CLK",B290)),"CLK","")</f>
        <v/>
      </c>
      <c r="D290" s="3" t="inlineStr">
        <is>
          <t>ADC00_IN6</t>
        </is>
      </c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t="inlineStr">
        <is>
          <t>o_DAC_SCLK(2)</t>
        </is>
      </c>
    </row>
    <row r="291" ht="30" customHeight="1">
      <c r="A291" s="3" t="inlineStr">
        <is>
          <t>P4</t>
        </is>
      </c>
      <c r="B291" s="3" t="inlineStr">
        <is>
          <t>IOB12_D21</t>
        </is>
      </c>
      <c r="C291" s="3">
        <f>IF(ISNUMBER(SEARCH("CLK",B291)),"CLK","")</f>
        <v/>
      </c>
      <c r="D291" s="3" t="inlineStr">
        <is>
          <t>ADC00_IN5</t>
        </is>
      </c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t="inlineStr">
        <is>
          <t>o_DAC_SYNC_n(2)</t>
        </is>
      </c>
    </row>
    <row r="292" ht="30" customHeight="1">
      <c r="A292" s="3" t="inlineStr">
        <is>
          <t>P5</t>
        </is>
      </c>
      <c r="B292" s="3" t="inlineStr">
        <is>
          <t>IOB00_USER8</t>
        </is>
      </c>
      <c r="C292" s="3">
        <f>IF(ISNUMBER(SEARCH("CLK",B292)),"CLK","")</f>
        <v/>
      </c>
      <c r="D292" s="3" t="n"/>
      <c r="E292" s="3" t="n"/>
      <c r="F292" s="3" t="n"/>
      <c r="G292" s="3" t="inlineStr">
        <is>
          <t>MOSI</t>
        </is>
      </c>
      <c r="H292" s="3" t="inlineStr">
        <is>
          <t>MOSI</t>
        </is>
      </c>
      <c r="I292" s="3" t="inlineStr">
        <is>
          <t>SPI2_IO[0]</t>
        </is>
      </c>
      <c r="J292" s="3" t="n"/>
      <c r="K292" s="3" t="n"/>
      <c r="L292" s="3" t="n"/>
      <c r="M292" s="3" t="inlineStr">
        <is>
          <t>SPWS_SO</t>
        </is>
      </c>
    </row>
    <row r="293">
      <c r="A293" s="3" t="inlineStr">
        <is>
          <t>P6</t>
        </is>
      </c>
      <c r="B293" s="3" t="inlineStr">
        <is>
          <t>IOB00_D14</t>
        </is>
      </c>
      <c r="C293" s="3">
        <f>IF(ISNUMBER(SEARCH("CLK",B293)),"CLK","")</f>
        <v/>
      </c>
      <c r="D293" s="3" t="n"/>
      <c r="E293" s="3" t="n"/>
      <c r="F293" s="3" t="n"/>
      <c r="G293" s="3" t="n"/>
      <c r="H293" s="3" t="n"/>
      <c r="I293" s="3" t="inlineStr">
        <is>
          <t>SPI2_RESET_N</t>
        </is>
      </c>
      <c r="J293" s="3" t="inlineStr">
        <is>
          <t>D14</t>
        </is>
      </c>
      <c r="K293" s="3" t="n"/>
      <c r="L293" s="3" t="n"/>
      <c r="M293" s="3" t="inlineStr">
        <is>
          <t>SI[7]</t>
        </is>
      </c>
    </row>
    <row r="294">
      <c r="A294" s="3" t="inlineStr">
        <is>
          <t>P7</t>
        </is>
      </c>
      <c r="B294" s="3" t="inlineStr">
        <is>
          <t>IOB00_D9</t>
        </is>
      </c>
      <c r="C294" s="3">
        <f>IF(ISNUMBER(SEARCH("CLK",B294)),"CLK","")</f>
        <v/>
      </c>
      <c r="D294" s="3" t="n"/>
      <c r="E294" s="3" t="n"/>
      <c r="F294" s="3" t="n"/>
      <c r="G294" s="3" t="n"/>
      <c r="H294" s="3" t="n"/>
      <c r="I294" s="3" t="inlineStr">
        <is>
          <t>SPI0_VCC[2]</t>
        </is>
      </c>
      <c r="J294" s="3" t="inlineStr">
        <is>
          <t>D9</t>
        </is>
      </c>
      <c r="K294" s="3" t="n"/>
      <c r="L294" s="3" t="n"/>
      <c r="M294" s="3" t="inlineStr">
        <is>
          <t>SO[4]</t>
        </is>
      </c>
    </row>
    <row r="295">
      <c r="A295" s="3" t="inlineStr">
        <is>
          <t>P8</t>
        </is>
      </c>
      <c r="B295" s="3" t="inlineStr">
        <is>
          <t>IOB00_D5</t>
        </is>
      </c>
      <c r="C295" s="3">
        <f>IF(ISNUMBER(SEARCH("CLK",B295)),"CLK","")</f>
        <v/>
      </c>
      <c r="D295" s="3" t="n"/>
      <c r="E295" s="3" t="n"/>
      <c r="F295" s="3" t="n"/>
      <c r="G295" s="3" t="n"/>
      <c r="H295" s="3" t="n"/>
      <c r="I295" s="3" t="inlineStr">
        <is>
          <t>SPI0_CS_N</t>
        </is>
      </c>
      <c r="J295" s="3" t="inlineStr">
        <is>
          <t>D5</t>
        </is>
      </c>
      <c r="K295" s="3" t="n"/>
      <c r="L295" s="3" t="n"/>
      <c r="M295" s="3" t="inlineStr">
        <is>
          <t>SO[2]</t>
        </is>
      </c>
    </row>
    <row r="296">
      <c r="A296" s="3" t="inlineStr">
        <is>
          <t>P9</t>
        </is>
      </c>
      <c r="B296" s="3" t="inlineStr">
        <is>
          <t>GND</t>
        </is>
      </c>
      <c r="C296" s="3">
        <f>IF(ISNUMBER(SEARCH("CLK",B296)),"CLK","")</f>
        <v/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>
      <c r="A297" s="3" t="inlineStr">
        <is>
          <t>P10</t>
        </is>
      </c>
      <c r="B297" s="3" t="inlineStr">
        <is>
          <t>VDDCORE</t>
        </is>
      </c>
      <c r="C297" s="3">
        <f>IF(ISNUMBER(SEARCH("CLK",B297)),"CLK","")</f>
        <v/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>
      <c r="A298" s="3" t="inlineStr">
        <is>
          <t>P11</t>
        </is>
      </c>
      <c r="B298" s="3" t="inlineStr">
        <is>
          <t>GND</t>
        </is>
      </c>
      <c r="C298" s="3">
        <f>IF(ISNUMBER(SEARCH("CLK",B298)),"CLK","")</f>
        <v/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>
      <c r="A299" s="3" t="inlineStr">
        <is>
          <t>P12</t>
        </is>
      </c>
      <c r="B299" s="3" t="inlineStr">
        <is>
          <t>VDDCORE</t>
        </is>
      </c>
      <c r="C299" s="3">
        <f>IF(ISNUMBER(SEARCH("CLK",B299)),"CLK","")</f>
        <v/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>
      <c r="A300" s="3" t="inlineStr">
        <is>
          <t>P13</t>
        </is>
      </c>
      <c r="B300" s="3" t="inlineStr">
        <is>
          <t>GND</t>
        </is>
      </c>
      <c r="C300" s="3">
        <f>IF(ISNUMBER(SEARCH("CLK",B300)),"CLK","")</f>
        <v/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>
      <c r="A301" s="3" t="inlineStr">
        <is>
          <t>P14</t>
        </is>
      </c>
      <c r="B301" s="3" t="inlineStr">
        <is>
          <t>VDDCORE</t>
        </is>
      </c>
      <c r="C301" s="3">
        <f>IF(ISNUMBER(SEARCH("CLK",B301)),"CLK","")</f>
        <v/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>
      <c r="A302" s="3" t="inlineStr">
        <is>
          <t>P15</t>
        </is>
      </c>
      <c r="B302" s="3" t="inlineStr">
        <is>
          <t>GND</t>
        </is>
      </c>
      <c r="C302" s="3">
        <f>IF(ISNUMBER(SEARCH("CLK",B302)),"CLK","")</f>
        <v/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>
      <c r="A303" s="3" t="inlineStr">
        <is>
          <t>P16</t>
        </is>
      </c>
      <c r="B303" s="3" t="inlineStr">
        <is>
          <t>IOB16_D15N_SWDI</t>
        </is>
      </c>
      <c r="C303" s="3">
        <f>IF(ISNUMBER(SEARCH("CLK",B303)),"CLK","")</f>
        <v/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>
      <c r="A304" s="3" t="inlineStr">
        <is>
          <t>P17</t>
        </is>
      </c>
      <c r="B304" s="3" t="inlineStr">
        <is>
          <t>IOB16_VDDS</t>
        </is>
      </c>
      <c r="C304" s="3">
        <f>IF(ISNUMBER(SEARCH("CLK",B304)),"CLK","")</f>
        <v/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>
      <c r="A305" s="3" t="inlineStr">
        <is>
          <t>P18</t>
        </is>
      </c>
      <c r="B305" s="3" t="inlineStr">
        <is>
          <t>IOB04_VDDS</t>
        </is>
      </c>
      <c r="C305" s="3">
        <f>IF(ISNUMBER(SEARCH("CLK",B305)),"CLK","")</f>
        <v/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>
      <c r="A306" s="3" t="inlineStr">
        <is>
          <t>P19</t>
        </is>
      </c>
      <c r="B306" s="3" t="inlineStr">
        <is>
          <t>IOB08_D13</t>
        </is>
      </c>
      <c r="C306" s="3">
        <f>IF(ISNUMBER(SEARCH("CLK",B306)),"CLK","")</f>
        <v/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>
      <c r="A307" s="3" t="inlineStr">
        <is>
          <t>P20</t>
        </is>
      </c>
      <c r="B307" s="3" t="inlineStr">
        <is>
          <t>IOB08_D11</t>
        </is>
      </c>
      <c r="C307" s="3">
        <f>IF(ISNUMBER(SEARCH("CLK",B307)),"CLK","")</f>
        <v/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>
      <c r="A308" s="3" t="inlineStr">
        <is>
          <t>P21</t>
        </is>
      </c>
      <c r="B308" s="3" t="inlineStr">
        <is>
          <t>IOB08_D06</t>
        </is>
      </c>
      <c r="C308" s="3">
        <f>IF(ISNUMBER(SEARCH("CLK",B308)),"CLK","")</f>
        <v/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>
      <c r="A309" s="3" t="inlineStr">
        <is>
          <t>P22</t>
        </is>
      </c>
      <c r="B309" s="3" t="inlineStr">
        <is>
          <t>IOB08_D03</t>
        </is>
      </c>
      <c r="C309" s="3">
        <f>IF(ISNUMBER(SEARCH("CLK",B309)),"CLK","")</f>
        <v/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>
      <c r="A310" s="3" t="inlineStr">
        <is>
          <t>R1</t>
        </is>
      </c>
      <c r="B310" s="3" t="inlineStr">
        <is>
          <t>IOB13_VDDIO</t>
        </is>
      </c>
      <c r="C310" s="3">
        <f>IF(ISNUMBER(SEARCH("CLK",B310)),"CLK","")</f>
        <v/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 ht="30" customHeight="1">
      <c r="A311" s="3" t="inlineStr">
        <is>
          <t>R2</t>
        </is>
      </c>
      <c r="B311" s="3" t="inlineStr">
        <is>
          <t>IOB12_D19</t>
        </is>
      </c>
      <c r="C311" s="3">
        <f>IF(ISNUMBER(SEARCH("CLK",B311)),"CLK","")</f>
        <v/>
      </c>
      <c r="D311" s="3" t="inlineStr">
        <is>
          <t>ADC01_IN7</t>
        </is>
      </c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t="inlineStr">
        <is>
          <t>o_cs_n(4)</t>
        </is>
      </c>
    </row>
    <row r="312" ht="30" customHeight="1">
      <c r="A312" s="3" t="inlineStr">
        <is>
          <t>R3</t>
        </is>
      </c>
      <c r="B312" s="3" t="inlineStr">
        <is>
          <t>IOB12_D20</t>
        </is>
      </c>
      <c r="C312" s="3">
        <f>IF(ISNUMBER(SEARCH("CLK",B312)),"CLK","")</f>
        <v/>
      </c>
      <c r="D312" s="3" t="inlineStr">
        <is>
          <t>ADC00_IN2</t>
        </is>
      </c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t="inlineStr">
        <is>
          <t>o_DAC_DIN(2)</t>
        </is>
      </c>
    </row>
    <row r="313">
      <c r="A313" s="3" t="inlineStr">
        <is>
          <t>R4</t>
        </is>
      </c>
      <c r="B313" s="3" t="inlineStr">
        <is>
          <t>GND</t>
        </is>
      </c>
      <c r="C313" s="3">
        <f>IF(ISNUMBER(SEARCH("CLK",B313)),"CLK","")</f>
        <v/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>
      <c r="A314" s="3" t="inlineStr">
        <is>
          <t>R5</t>
        </is>
      </c>
      <c r="B314" s="3" t="inlineStr">
        <is>
          <t>IOB00_USER9</t>
        </is>
      </c>
      <c r="C314" s="3">
        <f>IF(ISNUMBER(SEARCH("CLK",B314)),"CLK","")</f>
        <v/>
      </c>
      <c r="D314" s="3" t="n"/>
      <c r="E314" s="3" t="n"/>
      <c r="F314" s="3" t="n"/>
      <c r="G314" s="3" t="inlineStr">
        <is>
          <t>MISO</t>
        </is>
      </c>
      <c r="H314" s="3" t="inlineStr">
        <is>
          <t>MISO</t>
        </is>
      </c>
      <c r="I314" s="3" t="inlineStr">
        <is>
          <t>SPI2_IO[1]</t>
        </is>
      </c>
      <c r="J314" s="3" t="n"/>
      <c r="K314" s="3" t="n"/>
      <c r="L314" s="3" t="n"/>
      <c r="M314" s="3" t="n"/>
    </row>
    <row r="315">
      <c r="A315" s="3" t="inlineStr">
        <is>
          <t>R6</t>
        </is>
      </c>
      <c r="B315" s="3" t="inlineStr">
        <is>
          <t>IOB00_D13</t>
        </is>
      </c>
      <c r="C315" s="3">
        <f>IF(ISNUMBER(SEARCH("CLK",B315)),"CLK","")</f>
        <v/>
      </c>
      <c r="D315" s="3" t="n"/>
      <c r="E315" s="3" t="n"/>
      <c r="F315" s="3" t="n"/>
      <c r="G315" s="3" t="n"/>
      <c r="H315" s="3" t="inlineStr">
        <is>
          <t>SPI_VCC[0]</t>
        </is>
      </c>
      <c r="I315" s="3" t="inlineStr">
        <is>
          <t>SPI2_VCC[0]</t>
        </is>
      </c>
      <c r="J315" s="3" t="inlineStr">
        <is>
          <t>D13</t>
        </is>
      </c>
      <c r="K315" s="3" t="n"/>
      <c r="L315" s="3" t="n"/>
      <c r="M315" s="3" t="inlineStr">
        <is>
          <t>SO[6]</t>
        </is>
      </c>
    </row>
    <row r="316">
      <c r="A316" s="3" t="inlineStr">
        <is>
          <t>R7</t>
        </is>
      </c>
      <c r="B316" s="3" t="inlineStr">
        <is>
          <t>IOB00_D10</t>
        </is>
      </c>
      <c r="C316" s="3">
        <f>IF(ISNUMBER(SEARCH("CLK",B316)),"CLK","")</f>
        <v/>
      </c>
      <c r="D316" s="3" t="n"/>
      <c r="E316" s="3" t="n"/>
      <c r="F316" s="3" t="n"/>
      <c r="G316" s="3" t="n"/>
      <c r="H316" s="3" t="n"/>
      <c r="I316" s="3" t="n"/>
      <c r="J316" s="3" t="inlineStr">
        <is>
          <t>D10</t>
        </is>
      </c>
      <c r="K316" s="3" t="n"/>
      <c r="L316" s="3" t="n"/>
      <c r="M316" s="3" t="inlineStr">
        <is>
          <t>SI[5]</t>
        </is>
      </c>
    </row>
    <row r="317">
      <c r="A317" s="3" t="inlineStr">
        <is>
          <t>R8</t>
        </is>
      </c>
      <c r="B317" s="3" t="inlineStr">
        <is>
          <t>IOB00_D4</t>
        </is>
      </c>
      <c r="C317" s="3">
        <f>IF(ISNUMBER(SEARCH("CLK",B317)),"CLK","")</f>
        <v/>
      </c>
      <c r="D317" s="3" t="n"/>
      <c r="E317" s="3" t="n"/>
      <c r="F317" s="3" t="n"/>
      <c r="G317" s="3" t="n"/>
      <c r="H317" s="3" t="n"/>
      <c r="I317" s="3" t="inlineStr">
        <is>
          <t>SPI0_IO[3]</t>
        </is>
      </c>
      <c r="J317" s="3" t="inlineStr">
        <is>
          <t>D4</t>
        </is>
      </c>
      <c r="K317" s="3" t="n"/>
      <c r="L317" s="3" t="n"/>
      <c r="M317" s="3" t="inlineStr">
        <is>
          <t>SI[2]</t>
        </is>
      </c>
    </row>
    <row r="318">
      <c r="A318" s="3" t="inlineStr">
        <is>
          <t>R9</t>
        </is>
      </c>
      <c r="B318" s="3" t="inlineStr">
        <is>
          <t>VDDCORE</t>
        </is>
      </c>
      <c r="C318" s="3">
        <f>IF(ISNUMBER(SEARCH("CLK",B318)),"CLK","")</f>
        <v/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>
      <c r="A319" s="3" t="inlineStr">
        <is>
          <t>R10</t>
        </is>
      </c>
      <c r="B319" s="3" t="inlineStr">
        <is>
          <t>GND</t>
        </is>
      </c>
      <c r="C319" s="3">
        <f>IF(ISNUMBER(SEARCH("CLK",B319)),"CLK","")</f>
        <v/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>
      <c r="A320" s="3" t="inlineStr">
        <is>
          <t>R11</t>
        </is>
      </c>
      <c r="B320" s="3" t="inlineStr">
        <is>
          <t>VDDCORE</t>
        </is>
      </c>
      <c r="C320" s="3">
        <f>IF(ISNUMBER(SEARCH("CLK",B320)),"CLK","")</f>
        <v/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>
      <c r="A321" s="3" t="inlineStr">
        <is>
          <t>R12</t>
        </is>
      </c>
      <c r="B321" s="3" t="inlineStr">
        <is>
          <t>GND</t>
        </is>
      </c>
      <c r="C321" s="3">
        <f>IF(ISNUMBER(SEARCH("CLK",B321)),"CLK","")</f>
        <v/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>
      <c r="A322" s="3" t="inlineStr">
        <is>
          <t>R13</t>
        </is>
      </c>
      <c r="B322" s="3" t="inlineStr">
        <is>
          <t>VDDCORE</t>
        </is>
      </c>
      <c r="C322" s="3">
        <f>IF(ISNUMBER(SEARCH("CLK",B322)),"CLK","")</f>
        <v/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>
      <c r="A323" s="3" t="inlineStr">
        <is>
          <t>R14</t>
        </is>
      </c>
      <c r="B323" s="3" t="inlineStr">
        <is>
          <t>GND</t>
        </is>
      </c>
      <c r="C323" s="3">
        <f>IF(ISNUMBER(SEARCH("CLK",B323)),"CLK","")</f>
        <v/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>
      <c r="A324" s="3" t="inlineStr">
        <is>
          <t>R15</t>
        </is>
      </c>
      <c r="B324" s="3" t="inlineStr">
        <is>
          <t>VDDCORE</t>
        </is>
      </c>
      <c r="C324" s="3">
        <f>IF(ISNUMBER(SEARCH("CLK",B324)),"CLK","")</f>
        <v/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>
      <c r="A325" s="3" t="inlineStr">
        <is>
          <t>R16</t>
        </is>
      </c>
      <c r="B325" s="3" t="inlineStr">
        <is>
          <t>IOB04_D05N</t>
        </is>
      </c>
      <c r="C325" s="3">
        <f>IF(ISNUMBER(SEARCH("CLK",B325)),"CLK","")</f>
        <v/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>
      <c r="A326" s="3" t="inlineStr">
        <is>
          <t>R17</t>
        </is>
      </c>
      <c r="B326" s="3" t="inlineStr">
        <is>
          <t>GND</t>
        </is>
      </c>
      <c r="C326" s="3">
        <f>IF(ISNUMBER(SEARCH("CLK",B326)),"CLK","")</f>
        <v/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>
      <c r="A327" s="3" t="inlineStr">
        <is>
          <t>R18</t>
        </is>
      </c>
      <c r="B327" s="3" t="inlineStr">
        <is>
          <t>IOB04_D03N_SWSI</t>
        </is>
      </c>
      <c r="C327" s="3">
        <f>IF(ISNUMBER(SEARCH("CLK",B327)),"CLK","")</f>
        <v/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>
      <c r="A328" s="3" t="inlineStr">
        <is>
          <t>R19</t>
        </is>
      </c>
      <c r="B328" s="3" t="inlineStr">
        <is>
          <t>IOB07_D11</t>
        </is>
      </c>
      <c r="C328" s="3">
        <f>IF(ISNUMBER(SEARCH("CLK",B328)),"CLK","")</f>
        <v/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>
      <c r="A329" s="3" t="inlineStr">
        <is>
          <t>R20</t>
        </is>
      </c>
      <c r="B329" s="3" t="inlineStr">
        <is>
          <t>IOB08_D12</t>
        </is>
      </c>
      <c r="C329" s="3">
        <f>IF(ISNUMBER(SEARCH("CLK",B329)),"CLK","")</f>
        <v/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>
      <c r="A330" s="3" t="inlineStr">
        <is>
          <t>R21</t>
        </is>
      </c>
      <c r="B330" s="3" t="inlineStr">
        <is>
          <t>IOB08_D05</t>
        </is>
      </c>
      <c r="C330" s="3">
        <f>IF(ISNUMBER(SEARCH("CLK",B330)),"CLK","")</f>
        <v/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>
      <c r="A331" s="3" t="inlineStr">
        <is>
          <t>R22</t>
        </is>
      </c>
      <c r="B331" s="3" t="inlineStr">
        <is>
          <t>IOB08_D04</t>
        </is>
      </c>
      <c r="C331" s="3">
        <f>IF(ISNUMBER(SEARCH("CLK",B331)),"CLK","")</f>
        <v/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 ht="30" customHeight="1">
      <c r="A332" s="3" t="inlineStr">
        <is>
          <t>T1</t>
        </is>
      </c>
      <c r="B332" s="3" t="inlineStr">
        <is>
          <t>IOB12_D09</t>
        </is>
      </c>
      <c r="C332" s="3">
        <f>IF(ISNUMBER(SEARCH("CLK",B332)),"CLK","")</f>
        <v/>
      </c>
      <c r="D332" s="3" t="inlineStr">
        <is>
          <t>ADC01_IN4</t>
        </is>
      </c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t="inlineStr">
        <is>
          <t>i_sdi(4)</t>
        </is>
      </c>
    </row>
    <row r="333" ht="30" customHeight="1">
      <c r="A333" s="3" t="inlineStr">
        <is>
          <t>T2</t>
        </is>
      </c>
      <c r="B333" s="3" t="inlineStr">
        <is>
          <t>IOB12_D10</t>
        </is>
      </c>
      <c r="C333" s="3">
        <f>IF(ISNUMBER(SEARCH("CLK",B333)),"CLK","")</f>
        <v/>
      </c>
      <c r="D333" s="3" t="inlineStr">
        <is>
          <t>ADC01_IN6</t>
        </is>
      </c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t="inlineStr">
        <is>
          <t>o_sck(5)</t>
        </is>
      </c>
    </row>
    <row r="334" ht="30" customHeight="1">
      <c r="A334" s="3" t="inlineStr">
        <is>
          <t>T3</t>
        </is>
      </c>
      <c r="B334" s="3" t="inlineStr">
        <is>
          <t>IOB12_D18</t>
        </is>
      </c>
      <c r="C334" s="3">
        <f>IF(ISNUMBER(SEARCH("CLK",B334)),"CLK","")</f>
        <v/>
      </c>
      <c r="D334" s="3" t="inlineStr">
        <is>
          <t>ADC00_IN4</t>
        </is>
      </c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t="inlineStr">
        <is>
          <t>o_DAC_on_off(2)</t>
        </is>
      </c>
    </row>
    <row r="335" ht="30" customHeight="1">
      <c r="A335" s="3" t="inlineStr">
        <is>
          <t>T4</t>
        </is>
      </c>
      <c r="B335" s="3" t="inlineStr">
        <is>
          <t>IOB12_D17</t>
        </is>
      </c>
      <c r="C335" s="3">
        <f>IF(ISNUMBER(SEARCH("CLK",B335)),"CLK","")</f>
        <v/>
      </c>
      <c r="D335" s="3" t="inlineStr">
        <is>
          <t>ADC00_IN1</t>
        </is>
      </c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t="inlineStr">
        <is>
          <t>o_DAC_SCLK(3)</t>
        </is>
      </c>
    </row>
    <row r="336">
      <c r="A336" s="3" t="inlineStr">
        <is>
          <t>T5</t>
        </is>
      </c>
      <c r="B336" s="3" t="inlineStr">
        <is>
          <t>IOB00_USER10</t>
        </is>
      </c>
      <c r="C336" s="3">
        <f>IF(ISNUMBER(SEARCH("CLK",B336)),"CLK","")</f>
        <v/>
      </c>
      <c r="D336" s="3" t="n"/>
      <c r="E336" s="3" t="n"/>
      <c r="F336" s="3" t="n"/>
      <c r="G336" s="3" t="inlineStr">
        <is>
          <t>SCK</t>
        </is>
      </c>
      <c r="H336" s="3" t="inlineStr">
        <is>
          <t>SCK</t>
        </is>
      </c>
      <c r="I336" s="3" t="inlineStr">
        <is>
          <t>SPI2_SCLK</t>
        </is>
      </c>
      <c r="J336" s="3" t="n"/>
      <c r="K336" s="3" t="n"/>
      <c r="L336" s="3" t="n"/>
      <c r="M336" s="3" t="n"/>
    </row>
    <row r="337">
      <c r="A337" s="3" t="inlineStr">
        <is>
          <t>T6</t>
        </is>
      </c>
      <c r="B337" s="3" t="inlineStr">
        <is>
          <t>IOB00_D12</t>
        </is>
      </c>
      <c r="C337" s="3">
        <f>IF(ISNUMBER(SEARCH("CLK",B337)),"CLK","")</f>
        <v/>
      </c>
      <c r="D337" s="3" t="n"/>
      <c r="E337" s="3" t="n"/>
      <c r="F337" s="3" t="n"/>
      <c r="G337" s="3" t="n"/>
      <c r="H337" s="3" t="inlineStr">
        <is>
          <t>SPI_VCC[1]</t>
        </is>
      </c>
      <c r="I337" s="3" t="inlineStr">
        <is>
          <t>SPI2_VCC[1]</t>
        </is>
      </c>
      <c r="J337" s="3" t="inlineStr">
        <is>
          <t>D12</t>
        </is>
      </c>
      <c r="K337" s="3" t="n"/>
      <c r="L337" s="3" t="n"/>
      <c r="M337" s="3" t="inlineStr">
        <is>
          <t>SI[6]</t>
        </is>
      </c>
    </row>
    <row r="338">
      <c r="A338" s="3" t="inlineStr">
        <is>
          <t>T7</t>
        </is>
      </c>
      <c r="B338" s="3" t="inlineStr">
        <is>
          <t>IOB00_D11</t>
        </is>
      </c>
      <c r="C338" s="3">
        <f>IF(ISNUMBER(SEARCH("CLK",B338)),"CLK","")</f>
        <v/>
      </c>
      <c r="D338" s="3" t="n"/>
      <c r="E338" s="3" t="n"/>
      <c r="F338" s="3" t="n"/>
      <c r="G338" s="3" t="n"/>
      <c r="H338" s="3" t="inlineStr">
        <is>
          <t>SPI_VCC[2]</t>
        </is>
      </c>
      <c r="I338" s="3" t="inlineStr">
        <is>
          <t>SPI2_VCC[2]</t>
        </is>
      </c>
      <c r="J338" s="3" t="inlineStr">
        <is>
          <t>D11</t>
        </is>
      </c>
      <c r="K338" s="3" t="n"/>
      <c r="L338" s="3" t="n"/>
      <c r="M338" s="3" t="inlineStr">
        <is>
          <t>SO[5]</t>
        </is>
      </c>
    </row>
    <row r="339">
      <c r="A339" s="3" t="inlineStr">
        <is>
          <t>T8</t>
        </is>
      </c>
      <c r="B339" s="3" t="inlineStr">
        <is>
          <t>IOB00_D3</t>
        </is>
      </c>
      <c r="C339" s="3">
        <f>IF(ISNUMBER(SEARCH("CLK",B339)),"CLK","")</f>
        <v/>
      </c>
      <c r="D339" s="3" t="n"/>
      <c r="E339" s="3" t="n"/>
      <c r="F339" s="3" t="n"/>
      <c r="G339" s="3" t="n"/>
      <c r="H339" s="3" t="n"/>
      <c r="I339" s="3" t="inlineStr">
        <is>
          <t>SPI0_IO[2]</t>
        </is>
      </c>
      <c r="J339" s="3" t="inlineStr">
        <is>
          <t>D3</t>
        </is>
      </c>
      <c r="K339" s="3" t="n"/>
      <c r="L339" s="3" t="n"/>
      <c r="M339" s="3" t="inlineStr">
        <is>
          <t>SO[1]</t>
        </is>
      </c>
    </row>
    <row r="340">
      <c r="A340" s="3" t="inlineStr">
        <is>
          <t>T9</t>
        </is>
      </c>
      <c r="B340" s="3" t="inlineStr">
        <is>
          <t>IOB00_D2</t>
        </is>
      </c>
      <c r="C340" s="3">
        <f>IF(ISNUMBER(SEARCH("CLK",B340)),"CLK","")</f>
        <v/>
      </c>
      <c r="D340" s="3" t="n"/>
      <c r="E340" s="3" t="n"/>
      <c r="F340" s="3" t="n"/>
      <c r="G340" s="3" t="n"/>
      <c r="H340" s="3" t="n"/>
      <c r="I340" s="3" t="inlineStr">
        <is>
          <t>SPI0_SCLK</t>
        </is>
      </c>
      <c r="J340" s="3" t="inlineStr">
        <is>
          <t>D2</t>
        </is>
      </c>
      <c r="K340" s="3" t="n"/>
      <c r="L340" s="3" t="n"/>
      <c r="M340" s="3" t="inlineStr">
        <is>
          <t>SI[1]</t>
        </is>
      </c>
    </row>
    <row r="341">
      <c r="A341" s="3" t="inlineStr">
        <is>
          <t>T10</t>
        </is>
      </c>
      <c r="B341" s="3" t="inlineStr">
        <is>
          <t>IOB00_D1</t>
        </is>
      </c>
      <c r="C341" s="3">
        <f>IF(ISNUMBER(SEARCH("CLK",B341)),"CLK","")</f>
        <v/>
      </c>
      <c r="D341" s="3" t="n"/>
      <c r="E341" s="3" t="n"/>
      <c r="F341" s="3" t="n"/>
      <c r="G341" s="3" t="n"/>
      <c r="H341" s="3" t="n"/>
      <c r="I341" s="3" t="inlineStr">
        <is>
          <t>SPI0_IO[1]</t>
        </is>
      </c>
      <c r="J341" s="3" t="inlineStr">
        <is>
          <t>D1</t>
        </is>
      </c>
      <c r="K341" s="3" t="n"/>
      <c r="L341" s="3" t="n"/>
      <c r="M341" s="3" t="inlineStr">
        <is>
          <t>SO[0]</t>
        </is>
      </c>
    </row>
    <row r="342">
      <c r="A342" s="3" t="inlineStr">
        <is>
          <t>T11</t>
        </is>
      </c>
      <c r="B342" s="3" t="inlineStr">
        <is>
          <t>IOB00_D0</t>
        </is>
      </c>
      <c r="C342" s="3">
        <f>IF(ISNUMBER(SEARCH("CLK",B342)),"CLK","")</f>
        <v/>
      </c>
      <c r="D342" s="3" t="n"/>
      <c r="E342" s="3" t="n"/>
      <c r="F342" s="3" t="n"/>
      <c r="G342" s="3" t="n"/>
      <c r="H342" s="3" t="n"/>
      <c r="I342" s="3" t="inlineStr">
        <is>
          <t>SPI0_IO[0]</t>
        </is>
      </c>
      <c r="J342" s="3" t="inlineStr">
        <is>
          <t>D0</t>
        </is>
      </c>
      <c r="K342" s="3" t="n"/>
      <c r="L342" s="3" t="n"/>
      <c r="M342" s="3" t="inlineStr">
        <is>
          <t>SI[0]</t>
        </is>
      </c>
    </row>
    <row r="343">
      <c r="A343" s="3" t="inlineStr">
        <is>
          <t>T12</t>
        </is>
      </c>
      <c r="B343" s="3" t="inlineStr">
        <is>
          <t>GND</t>
        </is>
      </c>
      <c r="C343" s="3">
        <f>IF(ISNUMBER(SEARCH("CLK",B343)),"CLK","")</f>
        <v/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>
      <c r="A344" s="3" t="inlineStr">
        <is>
          <t>T13</t>
        </is>
      </c>
      <c r="B344" s="3" t="inlineStr">
        <is>
          <t>IOB04_D12N</t>
        </is>
      </c>
      <c r="C344" s="3">
        <f>IF(ISNUMBER(SEARCH("CLK",B344)),"CLK","")</f>
        <v/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>
      <c r="A345" s="3" t="inlineStr">
        <is>
          <t>T14</t>
        </is>
      </c>
      <c r="B345" s="3" t="inlineStr">
        <is>
          <t>IOB04_D11N</t>
        </is>
      </c>
      <c r="C345" s="3">
        <f>IF(ISNUMBER(SEARCH("CLK",B345)),"CLK","")</f>
        <v/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>
      <c r="A346" s="3" t="inlineStr">
        <is>
          <t>T15</t>
        </is>
      </c>
      <c r="B346" s="3" t="inlineStr">
        <is>
          <t>IOB04_D11P</t>
        </is>
      </c>
      <c r="C346" s="3">
        <f>IF(ISNUMBER(SEARCH("CLK",B346)),"CLK","")</f>
        <v/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>
      <c r="A347" s="3" t="inlineStr">
        <is>
          <t>T16</t>
        </is>
      </c>
      <c r="B347" s="3" t="inlineStr">
        <is>
          <t>IOB04_D05P</t>
        </is>
      </c>
      <c r="C347" s="3">
        <f>IF(ISNUMBER(SEARCH("CLK",B347)),"CLK","")</f>
        <v/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>
      <c r="A348" s="3" t="inlineStr">
        <is>
          <t>T17</t>
        </is>
      </c>
      <c r="B348" s="3" t="inlineStr">
        <is>
          <t>IOB04_D04N</t>
        </is>
      </c>
      <c r="C348" s="3">
        <f>IF(ISNUMBER(SEARCH("CLK",B348)),"CLK","")</f>
        <v/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>
      <c r="A349" s="3" t="inlineStr">
        <is>
          <t>T18</t>
        </is>
      </c>
      <c r="B349" s="3" t="inlineStr">
        <is>
          <t>IOB04_D03P_SWSI</t>
        </is>
      </c>
      <c r="C349" s="3">
        <f>IF(ISNUMBER(SEARCH("CLK",B349)),"CLK","")</f>
        <v/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>
      <c r="A350" s="3" t="inlineStr">
        <is>
          <t>T19</t>
        </is>
      </c>
      <c r="B350" s="3" t="inlineStr">
        <is>
          <t>IOB07_D10</t>
        </is>
      </c>
      <c r="C350" s="3">
        <f>IF(ISNUMBER(SEARCH("CLK",B350)),"CLK","")</f>
        <v/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>
      <c r="A351" s="3" t="inlineStr">
        <is>
          <t>T20</t>
        </is>
      </c>
      <c r="B351" s="3" t="inlineStr">
        <is>
          <t>IOB07_D12</t>
        </is>
      </c>
      <c r="C351" s="3">
        <f>IF(ISNUMBER(SEARCH("CLK",B351)),"CLK","")</f>
        <v/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>
      <c r="A352" s="3" t="inlineStr">
        <is>
          <t>T21</t>
        </is>
      </c>
      <c r="B352" s="3" t="inlineStr">
        <is>
          <t>IOB07_D13</t>
        </is>
      </c>
      <c r="C352" s="3">
        <f>IF(ISNUMBER(SEARCH("CLK",B352)),"CLK","")</f>
        <v/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>
      <c r="A353" s="3" t="inlineStr">
        <is>
          <t>T22</t>
        </is>
      </c>
      <c r="B353" s="3" t="inlineStr">
        <is>
          <t>IOB07_D23</t>
        </is>
      </c>
      <c r="C353" s="3">
        <f>IF(ISNUMBER(SEARCH("CLK",B353)),"CLK","")</f>
        <v/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>
      <c r="A354" s="3" t="inlineStr">
        <is>
          <t>U1</t>
        </is>
      </c>
      <c r="B354" s="3" t="inlineStr">
        <is>
          <t>IOB12_D08</t>
        </is>
      </c>
      <c r="C354" s="3">
        <f>IF(ISNUMBER(SEARCH("CLK",B354)),"CLK","")</f>
        <v/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t="inlineStr">
        <is>
          <t>o_cs_n(5)</t>
        </is>
      </c>
    </row>
    <row r="355">
      <c r="A355" s="3" t="inlineStr">
        <is>
          <t>U2</t>
        </is>
      </c>
      <c r="B355" s="3" t="inlineStr">
        <is>
          <t>IOB12_D11</t>
        </is>
      </c>
      <c r="C355" s="3">
        <f>IF(ISNUMBER(SEARCH("CLK",B355)),"CLK","")</f>
        <v/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t="inlineStr">
        <is>
          <t>i_sdi(5)</t>
        </is>
      </c>
    </row>
    <row r="356" ht="30" customHeight="1">
      <c r="A356" s="3" t="inlineStr">
        <is>
          <t>U3</t>
        </is>
      </c>
      <c r="B356" s="3" t="inlineStr">
        <is>
          <t>IOB12_D15</t>
        </is>
      </c>
      <c r="C356" s="3">
        <f>IF(ISNUMBER(SEARCH("CLK",B356)),"CLK","")</f>
        <v/>
      </c>
      <c r="D356" s="3" t="inlineStr">
        <is>
          <t>ADC00_IN3</t>
        </is>
      </c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t="inlineStr">
        <is>
          <t>o_DAC_SYNC_n(3)</t>
        </is>
      </c>
    </row>
    <row r="357" ht="30" customHeight="1">
      <c r="A357" s="3" t="inlineStr">
        <is>
          <t>U4</t>
        </is>
      </c>
      <c r="B357" s="3" t="inlineStr">
        <is>
          <t>IOB12_D16</t>
        </is>
      </c>
      <c r="C357" s="3">
        <f>IF(ISNUMBER(SEARCH("CLK",B357)),"CLK","")</f>
        <v/>
      </c>
      <c r="D357" s="3" t="inlineStr">
        <is>
          <t>ADC01_IN5</t>
        </is>
      </c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t="inlineStr">
        <is>
          <t>o_DAC_DIN(3)</t>
        </is>
      </c>
    </row>
    <row r="358">
      <c r="A358" s="3" t="inlineStr">
        <is>
          <t>U5</t>
        </is>
      </c>
      <c r="B358" s="3" t="inlineStr">
        <is>
          <t>VDD1V8A</t>
        </is>
      </c>
      <c r="C358" s="3">
        <f>IF(ISNUMBER(SEARCH("CLK",B358)),"CLK","")</f>
        <v/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>
      <c r="A359" s="3" t="inlineStr">
        <is>
          <t>U6</t>
        </is>
      </c>
      <c r="B359" s="3" t="inlineStr">
        <is>
          <t>GND</t>
        </is>
      </c>
      <c r="C359" s="3">
        <f>IF(ISNUMBER(SEARCH("CLK",B359)),"CLK","")</f>
        <v/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>
      <c r="A360" s="3" t="inlineStr">
        <is>
          <t>U7</t>
        </is>
      </c>
      <c r="B360" s="3" t="inlineStr">
        <is>
          <t>GND</t>
        </is>
      </c>
      <c r="C360" s="3">
        <f>IF(ISNUMBER(SEARCH("CLK",B360)),"CLK","")</f>
        <v/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>
      <c r="A361" s="3" t="inlineStr">
        <is>
          <t>U8</t>
        </is>
      </c>
      <c r="B361" s="3" t="inlineStr">
        <is>
          <t>GND</t>
        </is>
      </c>
      <c r="C361" s="3">
        <f>IF(ISNUMBER(SEARCH("CLK",B361)),"CLK","")</f>
        <v/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>
      <c r="A362" s="3" t="inlineStr">
        <is>
          <t>U9</t>
        </is>
      </c>
      <c r="B362" s="3" t="inlineStr">
        <is>
          <t>HSSL03_VDDCORE</t>
        </is>
      </c>
      <c r="C362" s="3">
        <f>IF(ISNUMBER(SEARCH("CLK",B362)),"CLK","")</f>
        <v/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>
      <c r="A363" s="3" t="inlineStr">
        <is>
          <t>U10</t>
        </is>
      </c>
      <c r="B363" s="3" t="inlineStr">
        <is>
          <t>GND</t>
        </is>
      </c>
      <c r="C363" s="3">
        <f>IF(ISNUMBER(SEARCH("CLK",B363)),"CLK","")</f>
        <v/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>
      <c r="A364" s="3" t="inlineStr">
        <is>
          <t>U11</t>
        </is>
      </c>
      <c r="B364" s="3" t="inlineStr">
        <is>
          <t>VDD1V8A</t>
        </is>
      </c>
      <c r="C364" s="3">
        <f>IF(ISNUMBER(SEARCH("CLK",B364)),"CLK","")</f>
        <v/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>
      <c r="A365" s="3" t="inlineStr">
        <is>
          <t>U12</t>
        </is>
      </c>
      <c r="B365" s="3" t="inlineStr">
        <is>
          <t>IOB04_D13N_SWDO</t>
        </is>
      </c>
      <c r="C365" s="3">
        <f>IF(ISNUMBER(SEARCH("CLK",B365)),"CLK","")</f>
        <v/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>
      <c r="A366" s="3" t="inlineStr">
        <is>
          <t>U13</t>
        </is>
      </c>
      <c r="B366" s="3" t="inlineStr">
        <is>
          <t>IOB04_D13P_SWDO</t>
        </is>
      </c>
      <c r="C366" s="3">
        <f>IF(ISNUMBER(SEARCH("CLK",B366)),"CLK","")</f>
        <v/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>
      <c r="A367" s="3" t="inlineStr">
        <is>
          <t>U14</t>
        </is>
      </c>
      <c r="B367" s="3" t="inlineStr">
        <is>
          <t>IOB04_D12P</t>
        </is>
      </c>
      <c r="C367" s="3">
        <f>IF(ISNUMBER(SEARCH("CLK",B367)),"CLK","")</f>
        <v/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>
      <c r="A368" s="3" t="inlineStr">
        <is>
          <t>U15</t>
        </is>
      </c>
      <c r="B368" s="3" t="inlineStr">
        <is>
          <t>VDD1V8A</t>
        </is>
      </c>
      <c r="C368" s="3">
        <f>IF(ISNUMBER(SEARCH("CLK",B368)),"CLK","")</f>
        <v/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>
      <c r="A369" s="3" t="inlineStr">
        <is>
          <t>U16</t>
        </is>
      </c>
      <c r="B369" s="3" t="inlineStr">
        <is>
          <t>IOB04_D06N</t>
        </is>
      </c>
      <c r="C369" s="3">
        <f>IF(ISNUMBER(SEARCH("CLK",B369)),"CLK","")</f>
        <v/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>
      <c r="A370" s="3" t="inlineStr">
        <is>
          <t>U17</t>
        </is>
      </c>
      <c r="B370" s="3" t="inlineStr">
        <is>
          <t>IOB04_D04P</t>
        </is>
      </c>
      <c r="C370" s="3">
        <f>IF(ISNUMBER(SEARCH("CLK",B370)),"CLK","")</f>
        <v/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>
      <c r="A371" s="3" t="inlineStr">
        <is>
          <t>U18</t>
        </is>
      </c>
      <c r="B371" s="3" t="inlineStr">
        <is>
          <t>IOB04_D02N_SWDI</t>
        </is>
      </c>
      <c r="C371" s="3">
        <f>IF(ISNUMBER(SEARCH("CLK",B371)),"CLK","")</f>
        <v/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>
      <c r="A372" s="3" t="inlineStr">
        <is>
          <t>U19</t>
        </is>
      </c>
      <c r="B372" s="3" t="inlineStr">
        <is>
          <t>IOB07_D09</t>
        </is>
      </c>
      <c r="C372" s="3">
        <f>IF(ISNUMBER(SEARCH("CLK",B372)),"CLK","")</f>
        <v/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>
      <c r="A373" s="3" t="inlineStr">
        <is>
          <t>U20</t>
        </is>
      </c>
      <c r="B373" s="3" t="inlineStr">
        <is>
          <t>VDD1V8A</t>
        </is>
      </c>
      <c r="C373" s="3">
        <f>IF(ISNUMBER(SEARCH("CLK",B373)),"CLK","")</f>
        <v/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>
      <c r="A374" s="3" t="inlineStr">
        <is>
          <t>U21</t>
        </is>
      </c>
      <c r="B374" s="3" t="inlineStr">
        <is>
          <t>IOB07_D14</t>
        </is>
      </c>
      <c r="C374" s="3">
        <f>IF(ISNUMBER(SEARCH("CLK",B374)),"CLK","")</f>
        <v/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>
      <c r="A375" s="3" t="inlineStr">
        <is>
          <t>U22</t>
        </is>
      </c>
      <c r="B375" s="3" t="inlineStr">
        <is>
          <t>IOB07_D22</t>
        </is>
      </c>
      <c r="C375" s="3">
        <f>IF(ISNUMBER(SEARCH("CLK",B375)),"CLK","")</f>
        <v/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 ht="30" customHeight="1">
      <c r="A376" s="3" t="inlineStr">
        <is>
          <t>V1</t>
        </is>
      </c>
      <c r="B376" s="3" t="inlineStr">
        <is>
          <t>IOB12_D07</t>
        </is>
      </c>
      <c r="C376" s="3">
        <f>IF(ISNUMBER(SEARCH("CLK",B376)),"CLK","")</f>
        <v/>
      </c>
      <c r="D376" s="3" t="inlineStr">
        <is>
          <t>ADC01_IN1</t>
        </is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t="inlineStr">
        <is>
          <t>o_sck(6)</t>
        </is>
      </c>
    </row>
    <row r="377" ht="30" customHeight="1">
      <c r="A377" s="3" t="inlineStr">
        <is>
          <t>V2</t>
        </is>
      </c>
      <c r="B377" s="3" t="inlineStr">
        <is>
          <t>IOB12_D12</t>
        </is>
      </c>
      <c r="C377" s="3">
        <f>IF(ISNUMBER(SEARCH("CLK",B377)),"CLK","")</f>
        <v/>
      </c>
      <c r="D377" s="3" t="inlineStr">
        <is>
          <t>ADC01_IN2</t>
        </is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t="inlineStr">
        <is>
          <t>o_cs_n(6)</t>
        </is>
      </c>
    </row>
    <row r="378">
      <c r="A378" s="3" t="inlineStr">
        <is>
          <t>V3</t>
        </is>
      </c>
      <c r="B378" s="3" t="inlineStr">
        <is>
          <t>IOB12_D13</t>
        </is>
      </c>
      <c r="C378" s="3">
        <f>IF(ISNUMBER(SEARCH("CLK",B378)),"CLK","")</f>
        <v/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t="inlineStr">
        <is>
          <t>o_DAC_on_off(3)</t>
        </is>
      </c>
    </row>
    <row r="379" ht="30" customHeight="1">
      <c r="A379" s="3" t="inlineStr">
        <is>
          <t>V4</t>
        </is>
      </c>
      <c r="B379" s="3" t="inlineStr">
        <is>
          <t>IOB12_D14</t>
        </is>
      </c>
      <c r="C379" s="3">
        <f>IF(ISNUMBER(SEARCH("CLK",B379)),"CLK","")</f>
        <v/>
      </c>
      <c r="D379" s="3" t="inlineStr">
        <is>
          <t>ADC00_IN0</t>
        </is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t="inlineStr">
        <is>
          <t>o_DAC_DIN(6)</t>
        </is>
      </c>
    </row>
    <row r="380">
      <c r="A380" s="3" t="inlineStr">
        <is>
          <t>V5</t>
        </is>
      </c>
      <c r="B380" s="3" t="inlineStr">
        <is>
          <t>GND</t>
        </is>
      </c>
      <c r="C380" s="3">
        <f>IF(ISNUMBER(SEARCH("CLK",B380)),"CLK","")</f>
        <v/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>
      <c r="A381" s="3" t="inlineStr">
        <is>
          <t>V6</t>
        </is>
      </c>
      <c r="B381" s="3" t="inlineStr">
        <is>
          <t>GND</t>
        </is>
      </c>
      <c r="C381" s="3">
        <f>IF(ISNUMBER(SEARCH("CLK",B381)),"CLK","")</f>
        <v/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>
      <c r="A382" s="3" t="inlineStr">
        <is>
          <t>V7</t>
        </is>
      </c>
      <c r="B382" s="3" t="inlineStr">
        <is>
          <t>HSSL03_CKREFP</t>
        </is>
      </c>
      <c r="C382" s="3">
        <f>IF(ISNUMBER(SEARCH("CLK",B382)),"CLK","")</f>
        <v/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>
      <c r="A383" s="3" t="inlineStr">
        <is>
          <t>V8</t>
        </is>
      </c>
      <c r="B383" s="3" t="inlineStr">
        <is>
          <t>HSSL03_CKREFN</t>
        </is>
      </c>
      <c r="C383" s="3">
        <f>IF(ISNUMBER(SEARCH("CLK",B383)),"CLK","")</f>
        <v/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>
      <c r="A384" s="3" t="inlineStr">
        <is>
          <t>V9</t>
        </is>
      </c>
      <c r="B384" s="3" t="inlineStr">
        <is>
          <t>GND</t>
        </is>
      </c>
      <c r="C384" s="3">
        <f>IF(ISNUMBER(SEARCH("CLK",B384)),"CLK","")</f>
        <v/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>
      <c r="A385" s="3" t="inlineStr">
        <is>
          <t>V10</t>
        </is>
      </c>
      <c r="B385" s="3" t="inlineStr">
        <is>
          <t>HSSL03_CALIBRATE</t>
        </is>
      </c>
      <c r="C385" s="3">
        <f>IF(ISNUMBER(SEARCH("CLK",B385)),"CLK","")</f>
        <v/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>
      <c r="A386" s="3" t="inlineStr">
        <is>
          <t>V11</t>
        </is>
      </c>
      <c r="B386" s="3" t="inlineStr">
        <is>
          <t>GND</t>
        </is>
      </c>
      <c r="C386" s="3">
        <f>IF(ISNUMBER(SEARCH("CLK",B386)),"CLK","")</f>
        <v/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>
      <c r="A387" s="3" t="inlineStr">
        <is>
          <t>V12</t>
        </is>
      </c>
      <c r="B387" s="3" t="inlineStr">
        <is>
          <t>IOB04_D14N_SWSO</t>
        </is>
      </c>
      <c r="C387" s="3">
        <f>IF(ISNUMBER(SEARCH("CLK",B387)),"CLK","")</f>
        <v/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>
      <c r="A388" s="3" t="inlineStr">
        <is>
          <t>V13</t>
        </is>
      </c>
      <c r="B388" s="3" t="inlineStr">
        <is>
          <t>IOB04_D14P_SWSO</t>
        </is>
      </c>
      <c r="C388" s="3">
        <f>IF(ISNUMBER(SEARCH("CLK",B388)),"CLK","")</f>
        <v/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>
      <c r="A389" s="3" t="inlineStr">
        <is>
          <t>V14</t>
        </is>
      </c>
      <c r="B389" s="3" t="inlineStr">
        <is>
          <t>IOB04_D15N_SWDI</t>
        </is>
      </c>
      <c r="C389" s="3">
        <f>IF(ISNUMBER(SEARCH("CLK",B389)),"CLK","")</f>
        <v/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>
      <c r="A390" s="3" t="inlineStr">
        <is>
          <t>V15</t>
        </is>
      </c>
      <c r="B390" s="3" t="inlineStr">
        <is>
          <t>GND</t>
        </is>
      </c>
      <c r="C390" s="3">
        <f>IF(ISNUMBER(SEARCH("CLK",B390)),"CLK","")</f>
        <v/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>
      <c r="A391" s="3" t="inlineStr">
        <is>
          <t>V16</t>
        </is>
      </c>
      <c r="B391" s="3" t="inlineStr">
        <is>
          <t>IOB04_D06P</t>
        </is>
      </c>
      <c r="C391" s="3">
        <f>IF(ISNUMBER(SEARCH("CLK",B391)),"CLK","")</f>
        <v/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>
      <c r="A392" s="3" t="inlineStr">
        <is>
          <t>V17</t>
        </is>
      </c>
      <c r="B392" s="3" t="inlineStr">
        <is>
          <t>IOB04_D02P_SWDI</t>
        </is>
      </c>
      <c r="C392" s="3">
        <f>IF(ISNUMBER(SEARCH("CLK",B392)),"CLK","")</f>
        <v/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>
      <c r="A393" s="3" t="inlineStr">
        <is>
          <t>V18</t>
        </is>
      </c>
      <c r="B393" s="3" t="inlineStr">
        <is>
          <t>IOB04_D00P_SWDO</t>
        </is>
      </c>
      <c r="C393" s="3">
        <f>IF(ISNUMBER(SEARCH("CLK",B393)),"CLK","")</f>
        <v/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>
      <c r="A394" s="3" t="inlineStr">
        <is>
          <t>V19</t>
        </is>
      </c>
      <c r="B394" s="3" t="inlineStr">
        <is>
          <t>IOB07_D08</t>
        </is>
      </c>
      <c r="C394" s="3">
        <f>IF(ISNUMBER(SEARCH("CLK",B394)),"CLK","")</f>
        <v/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>
      <c r="A395" s="3" t="inlineStr">
        <is>
          <t>V20</t>
        </is>
      </c>
      <c r="B395" s="3" t="inlineStr">
        <is>
          <t>GND</t>
        </is>
      </c>
      <c r="C395" s="3">
        <f>IF(ISNUMBER(SEARCH("CLK",B395)),"CLK","")</f>
        <v/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>
      <c r="A396" s="3" t="inlineStr">
        <is>
          <t>V21</t>
        </is>
      </c>
      <c r="B396" s="3" t="inlineStr">
        <is>
          <t>IOB07_D15</t>
        </is>
      </c>
      <c r="C396" s="3">
        <f>IF(ISNUMBER(SEARCH("CLK",B396)),"CLK","")</f>
        <v/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>
      <c r="A397" s="3" t="inlineStr">
        <is>
          <t>V22</t>
        </is>
      </c>
      <c r="B397" s="3" t="inlineStr">
        <is>
          <t>IOB07_D21</t>
        </is>
      </c>
      <c r="C397" s="3">
        <f>IF(ISNUMBER(SEARCH("CLK",B397)),"CLK","")</f>
        <v/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>
      <c r="A398" s="3" t="inlineStr">
        <is>
          <t>W1</t>
        </is>
      </c>
      <c r="B398" s="3" t="inlineStr">
        <is>
          <t>IOB12_D06</t>
        </is>
      </c>
      <c r="C398" s="3">
        <f>IF(ISNUMBER(SEARCH("CLK",B398)),"CLK","")</f>
        <v/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t="inlineStr">
        <is>
          <t>i_sdi(6)</t>
        </is>
      </c>
    </row>
    <row r="399" ht="30" customHeight="1">
      <c r="A399" s="3" t="inlineStr">
        <is>
          <t>W2</t>
        </is>
      </c>
      <c r="B399" s="3" t="inlineStr">
        <is>
          <t>IOB12_D02</t>
        </is>
      </c>
      <c r="C399" s="3">
        <f>IF(ISNUMBER(SEARCH("CLK",B399)),"CLK","")</f>
        <v/>
      </c>
      <c r="D399" s="3" t="inlineStr">
        <is>
          <t>ADC01_IN3</t>
        </is>
      </c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>
      <c r="A400" s="3" t="inlineStr">
        <is>
          <t>W3</t>
        </is>
      </c>
      <c r="B400" s="3" t="inlineStr">
        <is>
          <t>IOB12_D03</t>
        </is>
      </c>
      <c r="C400" s="3">
        <f>IF(ISNUMBER(SEARCH("CLK",B400)),"CLK","")</f>
        <v/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t="inlineStr">
        <is>
          <t>o_DAC_on_off(6)</t>
        </is>
      </c>
    </row>
    <row r="401">
      <c r="A401" s="3" t="inlineStr">
        <is>
          <t>W4</t>
        </is>
      </c>
      <c r="B401" s="3" t="inlineStr">
        <is>
          <t>GND</t>
        </is>
      </c>
      <c r="C401" s="3">
        <f>IF(ISNUMBER(SEARCH("CLK",B401)),"CLK","")</f>
        <v/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>
      <c r="A402" s="3" t="inlineStr">
        <is>
          <t>W5</t>
        </is>
      </c>
      <c r="B402" s="3" t="inlineStr">
        <is>
          <t>HSSL03_RX0N</t>
        </is>
      </c>
      <c r="C402" s="3">
        <f>IF(ISNUMBER(SEARCH("CLK",B402)),"CLK","")</f>
        <v/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>
      <c r="A403" s="3" t="inlineStr">
        <is>
          <t>W6</t>
        </is>
      </c>
      <c r="B403" s="3" t="inlineStr">
        <is>
          <t>HSSL03_VDD1V8A</t>
        </is>
      </c>
      <c r="C403" s="3">
        <f>IF(ISNUMBER(SEARCH("CLK",B403)),"CLK","")</f>
        <v/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>
      <c r="A404" s="3" t="inlineStr">
        <is>
          <t>W7</t>
        </is>
      </c>
      <c r="B404" s="3" t="inlineStr">
        <is>
          <t>HSSL03_RX1N</t>
        </is>
      </c>
      <c r="C404" s="3">
        <f>IF(ISNUMBER(SEARCH("CLK",B404)),"CLK","")</f>
        <v/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>
      <c r="A405" s="3" t="inlineStr">
        <is>
          <t>W8</t>
        </is>
      </c>
      <c r="B405" s="3" t="inlineStr">
        <is>
          <t>GND</t>
        </is>
      </c>
      <c r="C405" s="3">
        <f>IF(ISNUMBER(SEARCH("CLK",B405)),"CLK","")</f>
        <v/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>
      <c r="A406" s="3" t="inlineStr">
        <is>
          <t>W9</t>
        </is>
      </c>
      <c r="B406" s="3" t="inlineStr">
        <is>
          <t>HSSL03_RX2N</t>
        </is>
      </c>
      <c r="C406" s="3">
        <f>IF(ISNUMBER(SEARCH("CLK",B406)),"CLK","")</f>
        <v/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>
      <c r="A407" s="3" t="inlineStr">
        <is>
          <t>W10</t>
        </is>
      </c>
      <c r="B407" s="3" t="inlineStr">
        <is>
          <t>GND</t>
        </is>
      </c>
      <c r="C407" s="3">
        <f>IF(ISNUMBER(SEARCH("CLK",B407)),"CLK","")</f>
        <v/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>
      <c r="A408" s="3" t="inlineStr">
        <is>
          <t>W11</t>
        </is>
      </c>
      <c r="B408" s="3" t="inlineStr">
        <is>
          <t>HSSL03_RX3N</t>
        </is>
      </c>
      <c r="C408" s="3">
        <f>IF(ISNUMBER(SEARCH("CLK",B408)),"CLK","")</f>
        <v/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>
      <c r="A409" s="3" t="inlineStr">
        <is>
          <t>W12</t>
        </is>
      </c>
      <c r="B409" s="3" t="inlineStr">
        <is>
          <t>GND</t>
        </is>
      </c>
      <c r="C409" s="3">
        <f>IF(ISNUMBER(SEARCH("CLK",B409)),"CLK","")</f>
        <v/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>
      <c r="A410" s="3" t="inlineStr">
        <is>
          <t>W13</t>
        </is>
      </c>
      <c r="B410" s="3" t="inlineStr">
        <is>
          <t>CKGEN_LO_PLL_VDD1V8A</t>
        </is>
      </c>
      <c r="C410" s="3">
        <f>IF(ISNUMBER(SEARCH("CLK",B410)),"CLK","")</f>
        <v/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>
      <c r="A411" s="3" t="inlineStr">
        <is>
          <t>W14</t>
        </is>
      </c>
      <c r="B411" s="3" t="inlineStr">
        <is>
          <t>IOB04_D15P_SWDI</t>
        </is>
      </c>
      <c r="C411" s="3">
        <f>IF(ISNUMBER(SEARCH("CLK",B411)),"CLK","")</f>
        <v/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>
      <c r="A412" s="3" t="inlineStr">
        <is>
          <t>W15</t>
        </is>
      </c>
      <c r="B412" s="3" t="inlineStr">
        <is>
          <t>IOB04_D10N</t>
        </is>
      </c>
      <c r="C412" s="3">
        <f>IF(ISNUMBER(SEARCH("CLK",B412)),"CLK","")</f>
        <v/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>
      <c r="A413" s="3" t="inlineStr">
        <is>
          <t>W16</t>
        </is>
      </c>
      <c r="B413" s="3" t="inlineStr">
        <is>
          <t>IOB04_D07N</t>
        </is>
      </c>
      <c r="C413" s="3">
        <f>IF(ISNUMBER(SEARCH("CLK",B413)),"CLK","")</f>
        <v/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>
      <c r="A414" s="3" t="inlineStr">
        <is>
          <t>W17</t>
        </is>
      </c>
      <c r="B414" s="3" t="inlineStr">
        <is>
          <t>IOB04_D00N_SWDO</t>
        </is>
      </c>
      <c r="C414" s="3">
        <f>IF(ISNUMBER(SEARCH("CLK",B414)),"CLK","")</f>
        <v/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>
      <c r="A415" s="3" t="inlineStr">
        <is>
          <t>W18</t>
        </is>
      </c>
      <c r="B415" s="3" t="inlineStr">
        <is>
          <t>GND</t>
        </is>
      </c>
      <c r="C415" s="3">
        <f>IF(ISNUMBER(SEARCH("CLK",B415)),"CLK","")</f>
        <v/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>
      <c r="A416" s="3" t="inlineStr">
        <is>
          <t>W19</t>
        </is>
      </c>
      <c r="B416" s="3" t="inlineStr">
        <is>
          <t>IOB07_D07</t>
        </is>
      </c>
      <c r="C416" s="3">
        <f>IF(ISNUMBER(SEARCH("CLK",B416)),"CLK","")</f>
        <v/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>
      <c r="A417" s="3" t="inlineStr">
        <is>
          <t>W20</t>
        </is>
      </c>
      <c r="B417" s="3" t="inlineStr">
        <is>
          <t>IOB07_D06</t>
        </is>
      </c>
      <c r="C417" s="3">
        <f>IF(ISNUMBER(SEARCH("CLK",B417)),"CLK","")</f>
        <v/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>
      <c r="A418" s="3" t="inlineStr">
        <is>
          <t>W21</t>
        </is>
      </c>
      <c r="B418" s="3" t="inlineStr">
        <is>
          <t>IOB07_D16</t>
        </is>
      </c>
      <c r="C418" s="3">
        <f>IF(ISNUMBER(SEARCH("CLK",B418)),"CLK","")</f>
        <v/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>
      <c r="A419" s="3" t="inlineStr">
        <is>
          <t>W22</t>
        </is>
      </c>
      <c r="B419" s="3" t="inlineStr">
        <is>
          <t>IOB07_D20</t>
        </is>
      </c>
      <c r="C419" s="3">
        <f>IF(ISNUMBER(SEARCH("CLK",B419)),"CLK","")</f>
        <v/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 ht="30" customHeight="1">
      <c r="A420" s="3" t="inlineStr">
        <is>
          <t>Y1</t>
        </is>
      </c>
      <c r="B420" s="3" t="inlineStr">
        <is>
          <t>IOB12_D05</t>
        </is>
      </c>
      <c r="C420" s="3">
        <f>IF(ISNUMBER(SEARCH("CLK",B420)),"CLK","")</f>
        <v/>
      </c>
      <c r="D420" s="3" t="inlineStr">
        <is>
          <t>ADC01_IN0</t>
        </is>
      </c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>
      <c r="A421" s="3" t="inlineStr">
        <is>
          <t>Y2</t>
        </is>
      </c>
      <c r="B421" s="3" t="inlineStr">
        <is>
          <t>IOB12_D01</t>
        </is>
      </c>
      <c r="C421" s="3">
        <f>IF(ISNUMBER(SEARCH("CLK",B421)),"CLK","")</f>
        <v/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>
      <c r="A422" s="3" t="inlineStr">
        <is>
          <t>Y3</t>
        </is>
      </c>
      <c r="B422" s="3" t="inlineStr">
        <is>
          <t>GND</t>
        </is>
      </c>
      <c r="C422" s="3">
        <f>IF(ISNUMBER(SEARCH("CLK",B422)),"CLK","")</f>
        <v/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>
      <c r="A423" s="3" t="inlineStr">
        <is>
          <t>Y4</t>
        </is>
      </c>
      <c r="B423" s="3" t="inlineStr">
        <is>
          <t>GND</t>
        </is>
      </c>
      <c r="C423" s="3">
        <f>IF(ISNUMBER(SEARCH("CLK",B423)),"CLK","")</f>
        <v/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>
      <c r="A424" s="3" t="inlineStr">
        <is>
          <t>Y5</t>
        </is>
      </c>
      <c r="B424" s="3" t="inlineStr">
        <is>
          <t>HSSL03_RX0P</t>
        </is>
      </c>
      <c r="C424" s="3">
        <f>IF(ISNUMBER(SEARCH("CLK",B424)),"CLK","")</f>
        <v/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>
      <c r="A425" s="3" t="inlineStr">
        <is>
          <t>Y6</t>
        </is>
      </c>
      <c r="B425" s="3" t="inlineStr">
        <is>
          <t>GND</t>
        </is>
      </c>
      <c r="C425" s="3">
        <f>IF(ISNUMBER(SEARCH("CLK",B425)),"CLK","")</f>
        <v/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>
      <c r="A426" s="3" t="inlineStr">
        <is>
          <t>Y7</t>
        </is>
      </c>
      <c r="B426" s="3" t="inlineStr">
        <is>
          <t>HSSL03_RX1P</t>
        </is>
      </c>
      <c r="C426" s="3">
        <f>IF(ISNUMBER(SEARCH("CLK",B426)),"CLK","")</f>
        <v/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>
      <c r="A427" s="3" t="inlineStr">
        <is>
          <t>Y8</t>
        </is>
      </c>
      <c r="B427" s="3" t="inlineStr">
        <is>
          <t>GND</t>
        </is>
      </c>
      <c r="C427" s="3">
        <f>IF(ISNUMBER(SEARCH("CLK",B427)),"CLK","")</f>
        <v/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>
      <c r="A428" s="3" t="inlineStr">
        <is>
          <t>Y9</t>
        </is>
      </c>
      <c r="B428" s="3" t="inlineStr">
        <is>
          <t>HSSL03_RX2P</t>
        </is>
      </c>
      <c r="C428" s="3">
        <f>IF(ISNUMBER(SEARCH("CLK",B428)),"CLK","")</f>
        <v/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>
      <c r="A429" s="3" t="inlineStr">
        <is>
          <t>Y10</t>
        </is>
      </c>
      <c r="B429" s="3" t="inlineStr">
        <is>
          <t>GND</t>
        </is>
      </c>
      <c r="C429" s="3">
        <f>IF(ISNUMBER(SEARCH("CLK",B429)),"CLK","")</f>
        <v/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>
      <c r="A430" s="3" t="inlineStr">
        <is>
          <t>Y11</t>
        </is>
      </c>
      <c r="B430" s="3" t="inlineStr">
        <is>
          <t>HSSL03_RX3P</t>
        </is>
      </c>
      <c r="C430" s="3">
        <f>IF(ISNUMBER(SEARCH("CLK",B430)),"CLK","")</f>
        <v/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>
      <c r="A431" s="3" t="inlineStr">
        <is>
          <t>Y12</t>
        </is>
      </c>
      <c r="B431" s="3" t="inlineStr">
        <is>
          <t>GND</t>
        </is>
      </c>
      <c r="C431" s="3">
        <f>IF(ISNUMBER(SEARCH("CLK",B431)),"CLK","")</f>
        <v/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>
      <c r="A432" s="3" t="inlineStr">
        <is>
          <t>Y13</t>
        </is>
      </c>
      <c r="B432" s="3" t="inlineStr">
        <is>
          <t>CKGEN_LO_PLL_VDD1V8A</t>
        </is>
      </c>
      <c r="C432" s="3">
        <f>IF(ISNUMBER(SEARCH("CLK",B432)),"CLK","")</f>
        <v/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>
      <c r="A433" s="3" t="inlineStr">
        <is>
          <t>Y14</t>
        </is>
      </c>
      <c r="B433" s="3" t="inlineStr">
        <is>
          <t>IOB04_D16N_SWSI</t>
        </is>
      </c>
      <c r="C433" s="3">
        <f>IF(ISNUMBER(SEARCH("CLK",B433)),"CLK","")</f>
        <v/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>
      <c r="A434" s="3" t="inlineStr">
        <is>
          <t>Y15</t>
        </is>
      </c>
      <c r="B434" s="3" t="inlineStr">
        <is>
          <t>IOB04_D10P</t>
        </is>
      </c>
      <c r="C434" s="3">
        <f>IF(ISNUMBER(SEARCH("CLK",B434)),"CLK","")</f>
        <v/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>
      <c r="A435" s="3" t="inlineStr">
        <is>
          <t>Y16</t>
        </is>
      </c>
      <c r="B435" s="3" t="inlineStr">
        <is>
          <t>IOB04_D07P</t>
        </is>
      </c>
      <c r="C435" s="3">
        <f>IF(ISNUMBER(SEARCH("CLK",B435)),"CLK","")</f>
        <v/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>
      <c r="A436" s="3" t="inlineStr">
        <is>
          <t>Y17</t>
        </is>
      </c>
      <c r="B436" s="3" t="inlineStr">
        <is>
          <t>IOB04_D01P_SWSO</t>
        </is>
      </c>
      <c r="C436" s="3">
        <f>IF(ISNUMBER(SEARCH("CLK",B436)),"CLK","")</f>
        <v/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>
      <c r="A437" s="3" t="inlineStr">
        <is>
          <t>Y18</t>
        </is>
      </c>
      <c r="B437" s="3" t="inlineStr">
        <is>
          <t>IOB04_VDDIO</t>
        </is>
      </c>
      <c r="C437" s="3">
        <f>IF(ISNUMBER(SEARCH("CLK",B437)),"CLK","")</f>
        <v/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>
      <c r="A438" s="3" t="inlineStr">
        <is>
          <t>Y19</t>
        </is>
      </c>
      <c r="B438" s="3" t="inlineStr">
        <is>
          <t>IOB07_D02</t>
        </is>
      </c>
      <c r="C438" s="3">
        <f>IF(ISNUMBER(SEARCH("CLK",B438)),"CLK","")</f>
        <v/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>
      <c r="A439" s="3" t="inlineStr">
        <is>
          <t>Y20</t>
        </is>
      </c>
      <c r="B439" s="3" t="inlineStr">
        <is>
          <t>IOB07_D05</t>
        </is>
      </c>
      <c r="C439" s="3">
        <f>IF(ISNUMBER(SEARCH("CLK",B439)),"CLK","")</f>
        <v/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>
      <c r="A440" s="3" t="inlineStr">
        <is>
          <t>Y21</t>
        </is>
      </c>
      <c r="B440" s="3" t="inlineStr">
        <is>
          <t>IOB07_D17</t>
        </is>
      </c>
      <c r="C440" s="3">
        <f>IF(ISNUMBER(SEARCH("CLK",B440)),"CLK","")</f>
        <v/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>
      <c r="A441" s="3" t="inlineStr">
        <is>
          <t>Y22</t>
        </is>
      </c>
      <c r="B441" s="3" t="inlineStr">
        <is>
          <t>IOB07_D19</t>
        </is>
      </c>
      <c r="C441" s="3">
        <f>IF(ISNUMBER(SEARCH("CLK",B441)),"CLK","")</f>
        <v/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>
      <c r="A442" s="3" t="inlineStr">
        <is>
          <t>AA1</t>
        </is>
      </c>
      <c r="B442" s="3" t="inlineStr">
        <is>
          <t>IOB12_D00</t>
        </is>
      </c>
      <c r="C442" s="3">
        <f>IF(ISNUMBER(SEARCH("CLK",B442)),"CLK","")</f>
        <v/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>
      <c r="A443" s="3" t="inlineStr">
        <is>
          <t>AA2</t>
        </is>
      </c>
      <c r="B443" s="3" t="inlineStr">
        <is>
          <t>IOB12_VDDIO</t>
        </is>
      </c>
      <c r="C443" s="3">
        <f>IF(ISNUMBER(SEARCH("CLK",B443)),"CLK","")</f>
        <v/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>
      <c r="A444" s="3" t="inlineStr">
        <is>
          <t>AA3</t>
        </is>
      </c>
      <c r="B444" s="3" t="inlineStr">
        <is>
          <t>GND</t>
        </is>
      </c>
      <c r="C444" s="3">
        <f>IF(ISNUMBER(SEARCH("CLK",B444)),"CLK","")</f>
        <v/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>
      <c r="A445" s="3" t="inlineStr">
        <is>
          <t>AA4</t>
        </is>
      </c>
      <c r="B445" s="3" t="inlineStr">
        <is>
          <t>HSSL03_TX0N</t>
        </is>
      </c>
      <c r="C445" s="3">
        <f>IF(ISNUMBER(SEARCH("CLK",B445)),"CLK","")</f>
        <v/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>
      <c r="A446" s="3" t="inlineStr">
        <is>
          <t>AA5</t>
        </is>
      </c>
      <c r="B446" s="3" t="inlineStr">
        <is>
          <t>GND</t>
        </is>
      </c>
      <c r="C446" s="3">
        <f>IF(ISNUMBER(SEARCH("CLK",B446)),"CLK","")</f>
        <v/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>
      <c r="A447" s="3" t="inlineStr">
        <is>
          <t>AA6</t>
        </is>
      </c>
      <c r="B447" s="3" t="inlineStr">
        <is>
          <t>HSSL03_TX1N</t>
        </is>
      </c>
      <c r="C447" s="3">
        <f>IF(ISNUMBER(SEARCH("CLK",B447)),"CLK","")</f>
        <v/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>
      <c r="A448" s="3" t="inlineStr">
        <is>
          <t>AA7</t>
        </is>
      </c>
      <c r="B448" s="3" t="inlineStr">
        <is>
          <t>GND</t>
        </is>
      </c>
      <c r="C448" s="3">
        <f>IF(ISNUMBER(SEARCH("CLK",B448)),"CLK","")</f>
        <v/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>
      <c r="A449" s="3" t="inlineStr">
        <is>
          <t>AA8</t>
        </is>
      </c>
      <c r="B449" s="3" t="inlineStr">
        <is>
          <t>HSSL03_TX2N</t>
        </is>
      </c>
      <c r="C449" s="3">
        <f>IF(ISNUMBER(SEARCH("CLK",B449)),"CLK","")</f>
        <v/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>
      <c r="A450" s="3" t="inlineStr">
        <is>
          <t>AA9</t>
        </is>
      </c>
      <c r="B450" s="3" t="inlineStr">
        <is>
          <t>GND</t>
        </is>
      </c>
      <c r="C450" s="3">
        <f>IF(ISNUMBER(SEARCH("CLK",B450)),"CLK","")</f>
        <v/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>
      <c r="A451" s="3" t="inlineStr">
        <is>
          <t>AA10</t>
        </is>
      </c>
      <c r="B451" s="3" t="inlineStr">
        <is>
          <t>HSSL03_TX3N</t>
        </is>
      </c>
      <c r="C451" s="3">
        <f>IF(ISNUMBER(SEARCH("CLK",B451)),"CLK","")</f>
        <v/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>
      <c r="A452" s="3" t="inlineStr">
        <is>
          <t>AA11</t>
        </is>
      </c>
      <c r="B452" s="3" t="inlineStr">
        <is>
          <t>GND</t>
        </is>
      </c>
      <c r="C452" s="3">
        <f>IF(ISNUMBER(SEARCH("CLK",B452)),"CLK","")</f>
        <v/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>
      <c r="A453" s="3" t="inlineStr">
        <is>
          <t>AA12</t>
        </is>
      </c>
      <c r="B453" s="3" t="inlineStr">
        <is>
          <t>GND</t>
        </is>
      </c>
      <c r="C453" s="3">
        <f>IF(ISNUMBER(SEARCH("CLK",B453)),"CLK","")</f>
        <v/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>
      <c r="A454" s="3" t="inlineStr">
        <is>
          <t>AA13</t>
        </is>
      </c>
      <c r="B454" s="3" t="inlineStr">
        <is>
          <t>CKGEN_LO_PLL_VDDA</t>
        </is>
      </c>
      <c r="C454" s="3">
        <f>IF(ISNUMBER(SEARCH("CLK",B454)),"CLK","")</f>
        <v/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>
      <c r="A455" s="3" t="inlineStr">
        <is>
          <t>AA14</t>
        </is>
      </c>
      <c r="B455" s="3" t="inlineStr">
        <is>
          <t>IOB04_D16P_SWSI</t>
        </is>
      </c>
      <c r="C455" s="3">
        <f>IF(ISNUMBER(SEARCH("CLK",B455)),"CLK","")</f>
        <v/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>
      <c r="A456" s="3" t="inlineStr">
        <is>
          <t>AA15</t>
        </is>
      </c>
      <c r="B456" s="3" t="inlineStr">
        <is>
          <t>IOB04_D09N</t>
        </is>
      </c>
      <c r="C456" s="3">
        <f>IF(ISNUMBER(SEARCH("CLK",B456)),"CLK","")</f>
        <v/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>
      <c r="A457" s="3" t="inlineStr">
        <is>
          <t>AA16</t>
        </is>
      </c>
      <c r="B457" s="3" t="inlineStr">
        <is>
          <t>IOB04_D08N</t>
        </is>
      </c>
      <c r="C457" s="3">
        <f>IF(ISNUMBER(SEARCH("CLK",B457)),"CLK","")</f>
        <v/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>
      <c r="A458" s="3" t="inlineStr">
        <is>
          <t>AA17</t>
        </is>
      </c>
      <c r="B458" s="3" t="inlineStr">
        <is>
          <t>IOB04_D01N_SWSO</t>
        </is>
      </c>
      <c r="C458" s="3">
        <f>IF(ISNUMBER(SEARCH("CLK",B458)),"CLK","")</f>
        <v/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>
      <c r="A459" s="3" t="inlineStr">
        <is>
          <t>AA18</t>
        </is>
      </c>
      <c r="B459" s="3" t="inlineStr">
        <is>
          <t>IOB04_VDDIO</t>
        </is>
      </c>
      <c r="C459" s="3">
        <f>IF(ISNUMBER(SEARCH("CLK",B459)),"CLK","")</f>
        <v/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>
      <c r="A460" s="3" t="inlineStr">
        <is>
          <t>AA19</t>
        </is>
      </c>
      <c r="B460" s="3" t="inlineStr">
        <is>
          <t>IOB07_D01</t>
        </is>
      </c>
      <c r="C460" s="3">
        <f>IF(ISNUMBER(SEARCH("CLK",B460)),"CLK","")</f>
        <v/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>
      <c r="A461" s="3" t="inlineStr">
        <is>
          <t>AA20</t>
        </is>
      </c>
      <c r="B461" s="3" t="inlineStr">
        <is>
          <t>IOB07_D04</t>
        </is>
      </c>
      <c r="C461" s="3">
        <f>IF(ISNUMBER(SEARCH("CLK",B461)),"CLK","")</f>
        <v/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>
      <c r="A462" s="3" t="inlineStr">
        <is>
          <t>AA21</t>
        </is>
      </c>
      <c r="B462" s="3" t="inlineStr">
        <is>
          <t>IOB07_D18</t>
        </is>
      </c>
      <c r="C462" s="3">
        <f>IF(ISNUMBER(SEARCH("CLK",B462)),"CLK","")</f>
        <v/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>
      <c r="A463" s="3" t="inlineStr">
        <is>
          <t>AA22</t>
        </is>
      </c>
      <c r="B463" s="3" t="inlineStr">
        <is>
          <t>IOB08_VDDIO</t>
        </is>
      </c>
      <c r="C463" s="3">
        <f>IF(ISNUMBER(SEARCH("CLK",B463)),"CLK","")</f>
        <v/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>
      <c r="A464" s="3" t="inlineStr">
        <is>
          <t>AB1</t>
        </is>
      </c>
      <c r="B464" s="3" t="inlineStr">
        <is>
          <t>IOB12_D04</t>
        </is>
      </c>
      <c r="C464" s="3">
        <f>IF(ISNUMBER(SEARCH("CLK",B464)),"CLK","")</f>
        <v/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>
      <c r="A465" s="3" t="inlineStr">
        <is>
          <t>AB2</t>
        </is>
      </c>
      <c r="B465" s="3" t="inlineStr">
        <is>
          <t>IOB12_VDDIO</t>
        </is>
      </c>
      <c r="C465" s="3">
        <f>IF(ISNUMBER(SEARCH("CLK",B465)),"CLK","")</f>
        <v/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>
      <c r="A466" s="3" t="inlineStr">
        <is>
          <t>AB3</t>
        </is>
      </c>
      <c r="B466" s="3" t="inlineStr">
        <is>
          <t>GND</t>
        </is>
      </c>
      <c r="C466" s="3">
        <f>IF(ISNUMBER(SEARCH("CLK",B466)),"CLK","")</f>
        <v/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>
      <c r="A467" s="3" t="inlineStr">
        <is>
          <t>AB4</t>
        </is>
      </c>
      <c r="B467" s="3" t="inlineStr">
        <is>
          <t>HSSL03_TX0P</t>
        </is>
      </c>
      <c r="C467" s="3">
        <f>IF(ISNUMBER(SEARCH("CLK",B467)),"CLK","")</f>
        <v/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>
      <c r="A468" s="3" t="inlineStr">
        <is>
          <t>AB5</t>
        </is>
      </c>
      <c r="B468" s="3" t="inlineStr">
        <is>
          <t>HSSL03_TX0_VDDA</t>
        </is>
      </c>
      <c r="C468" s="3">
        <f>IF(ISNUMBER(SEARCH("CLK",B468)),"CLK","")</f>
        <v/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>
      <c r="A469" s="3" t="inlineStr">
        <is>
          <t>AB6</t>
        </is>
      </c>
      <c r="B469" s="3" t="inlineStr">
        <is>
          <t>HSSL03_TX1P</t>
        </is>
      </c>
      <c r="C469" s="3">
        <f>IF(ISNUMBER(SEARCH("CLK",B469)),"CLK","")</f>
        <v/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>
      <c r="A470" s="3" t="inlineStr">
        <is>
          <t>AB7</t>
        </is>
      </c>
      <c r="B470" s="3" t="inlineStr">
        <is>
          <t>HSSL03_TX1_VDDA</t>
        </is>
      </c>
      <c r="C470" s="3">
        <f>IF(ISNUMBER(SEARCH("CLK",B470)),"CLK","")</f>
        <v/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>
      <c r="A471" s="3" t="inlineStr">
        <is>
          <t>AB8</t>
        </is>
      </c>
      <c r="B471" s="3" t="inlineStr">
        <is>
          <t>HSSL03_TX2P</t>
        </is>
      </c>
      <c r="C471" s="3">
        <f>IF(ISNUMBER(SEARCH("CLK",B471)),"CLK","")</f>
        <v/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>
      <c r="A472" s="3" t="inlineStr">
        <is>
          <t>AB9</t>
        </is>
      </c>
      <c r="B472" s="3" t="inlineStr">
        <is>
          <t>HSSL03_TX2_VDDA</t>
        </is>
      </c>
      <c r="C472" s="3">
        <f>IF(ISNUMBER(SEARCH("CLK",B472)),"CLK","")</f>
        <v/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>
      <c r="A473" s="3" t="inlineStr">
        <is>
          <t>AB10</t>
        </is>
      </c>
      <c r="B473" s="3" t="inlineStr">
        <is>
          <t>HSSL03_TX3P</t>
        </is>
      </c>
      <c r="C473" s="3">
        <f>IF(ISNUMBER(SEARCH("CLK",B473)),"CLK","")</f>
        <v/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>
      <c r="A474" s="3" t="inlineStr">
        <is>
          <t>AB11</t>
        </is>
      </c>
      <c r="B474" s="3" t="inlineStr">
        <is>
          <t>HSSL03_TX3_VDDA</t>
        </is>
      </c>
      <c r="C474" s="3">
        <f>IF(ISNUMBER(SEARCH("CLK",B474)),"CLK","")</f>
        <v/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>
      <c r="A475" s="3" t="inlineStr">
        <is>
          <t>AB12</t>
        </is>
      </c>
      <c r="B475" s="3" t="inlineStr">
        <is>
          <t>GND</t>
        </is>
      </c>
      <c r="C475" s="3">
        <f>IF(ISNUMBER(SEARCH("CLK",B475)),"CLK","")</f>
        <v/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>
      <c r="A476" s="3" t="inlineStr">
        <is>
          <t>AB13</t>
        </is>
      </c>
      <c r="B476" s="3" t="inlineStr">
        <is>
          <t>CKGEN_LO_PLL_VDDA</t>
        </is>
      </c>
      <c r="C476" s="3">
        <f>IF(ISNUMBER(SEARCH("CLK",B476)),"CLK","")</f>
        <v/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>
      <c r="A477" s="3" t="inlineStr">
        <is>
          <t>AB14</t>
        </is>
      </c>
      <c r="B477" s="3" t="inlineStr">
        <is>
          <t>GND</t>
        </is>
      </c>
      <c r="C477" s="3">
        <f>IF(ISNUMBER(SEARCH("CLK",B477)),"CLK","")</f>
        <v/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>
      <c r="A478" s="3" t="inlineStr">
        <is>
          <t>AB15</t>
        </is>
      </c>
      <c r="B478" s="3" t="inlineStr">
        <is>
          <t>IOB04_D09P_CLK</t>
        </is>
      </c>
      <c r="C478" s="3">
        <f>IF(ISNUMBER(SEARCH("CLK",B478)),"CLK","")</f>
        <v/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>
      <c r="A479" s="3" t="inlineStr">
        <is>
          <t>AB16</t>
        </is>
      </c>
      <c r="B479" s="3" t="inlineStr">
        <is>
          <t>IOB04_D08P_CLK</t>
        </is>
      </c>
      <c r="C479" s="3">
        <f>IF(ISNUMBER(SEARCH("CLK",B479)),"CLK","")</f>
        <v/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>
      <c r="A480" s="3" t="inlineStr">
        <is>
          <t>AB17</t>
        </is>
      </c>
      <c r="B480" s="3" t="inlineStr">
        <is>
          <t>GND</t>
        </is>
      </c>
      <c r="C480" s="3">
        <f>IF(ISNUMBER(SEARCH("CLK",B480)),"CLK","")</f>
        <v/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>
      <c r="A481" s="3" t="inlineStr">
        <is>
          <t>AB18</t>
        </is>
      </c>
      <c r="B481" s="3" t="inlineStr">
        <is>
          <t>IOB04_VDDIO</t>
        </is>
      </c>
      <c r="C481" s="3">
        <f>IF(ISNUMBER(SEARCH("CLK",B481)),"CLK","")</f>
        <v/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>
      <c r="A482" s="3" t="inlineStr">
        <is>
          <t>AB19</t>
        </is>
      </c>
      <c r="B482" s="3" t="inlineStr">
        <is>
          <t>IOB07_D00</t>
        </is>
      </c>
      <c r="C482" s="3">
        <f>IF(ISNUMBER(SEARCH("CLK",B482)),"CLK","")</f>
        <v/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>
      <c r="A483" s="3" t="inlineStr">
        <is>
          <t>AB20</t>
        </is>
      </c>
      <c r="B483" s="3" t="inlineStr">
        <is>
          <t>IOB07_D03</t>
        </is>
      </c>
      <c r="C483" s="3">
        <f>IF(ISNUMBER(SEARCH("CLK",B483)),"CLK","")</f>
        <v/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>
      <c r="A484" s="3" t="inlineStr">
        <is>
          <t>AB21</t>
        </is>
      </c>
      <c r="B484" s="3" t="inlineStr">
        <is>
          <t>GND</t>
        </is>
      </c>
      <c r="C484" s="3">
        <f>IF(ISNUMBER(SEARCH("CLK",B484)),"CLK","")</f>
        <v/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>
      <c r="A485" s="3" t="inlineStr">
        <is>
          <t>AB22</t>
        </is>
      </c>
      <c r="B485" s="3" t="inlineStr">
        <is>
          <t>IOB07_VDDIO</t>
        </is>
      </c>
      <c r="C485" s="3">
        <f>IF(ISNUMBER(SEARCH("CLK",B485)),"CLK","")</f>
        <v/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CHOPIER</dc:creator>
  <dcterms:created xmlns:dcterms="http://purl.org/dc/terms/" xmlns:xsi="http://www.w3.org/2001/XMLSchema-instance" xsi:type="dcterms:W3CDTF">2023-11-22T14:00:51Z</dcterms:created>
  <dcterms:modified xmlns:dcterms="http://purl.org/dc/terms/" xmlns:xsi="http://www.w3.org/2001/XMLSchema-instance" xsi:type="dcterms:W3CDTF">2026-08-26T14:49:11Z</dcterms:modified>
  <cp:lastModifiedBy>adminbertrand</cp:lastModifiedBy>
</cp:coreProperties>
</file>